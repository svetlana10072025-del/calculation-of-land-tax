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858" documentId="11_924874E5C5FBB6926123EA198B3E8C185103838B" xr6:coauthVersionLast="47" xr6:coauthVersionMax="47" xr10:uidLastSave="{B127DE94-F517-48A0-ACCC-D50055346F86}"/>
  <bookViews>
    <workbookView xWindow="240" yWindow="105" windowWidth="14805" windowHeight="8010" firstSheet="2" activeTab="2" xr2:uid="{00000000-000D-0000-FFFF-FFFF00000000}"/>
  </bookViews>
  <sheets>
    <sheet name="Транспортный" sheetId="1" r:id="rId1"/>
    <sheet name="Добыча_ресурсов" sheetId="2" r:id="rId2"/>
    <sheet name="Эконалог_захоронение" sheetId="4" r:id="rId3"/>
    <sheet name="Ставки на нефть" sheetId="3" r:id="rId4"/>
    <sheet name="Эконалог_сточные" sheetId="5" r:id="rId5"/>
    <sheet name="Эконалог_воздух" sheetId="6" r:id="rId6"/>
    <sheet name="Лист1" sheetId="10" r:id="rId7"/>
    <sheet name="Акцизы" sheetId="7" r:id="rId8"/>
    <sheet name="Земельный налог" sheetId="9" r:id="rId9"/>
    <sheet name="Земельный налог_регионы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7" l="1"/>
  <c r="E38" i="7"/>
  <c r="E39" i="7"/>
  <c r="E40" i="7"/>
  <c r="E34" i="7"/>
  <c r="E17" i="7"/>
  <c r="E33" i="7"/>
  <c r="E36" i="7"/>
  <c r="E25" i="7"/>
  <c r="E30" i="7"/>
  <c r="E28" i="7"/>
  <c r="E8" i="7"/>
  <c r="E35" i="7"/>
  <c r="E18" i="7"/>
  <c r="E15" i="7"/>
  <c r="E26" i="7"/>
  <c r="E7" i="7"/>
  <c r="E13" i="7"/>
  <c r="E6" i="7"/>
  <c r="E31" i="7"/>
  <c r="E29" i="7"/>
  <c r="E9" i="7"/>
  <c r="E20" i="7"/>
  <c r="E21" i="7"/>
  <c r="E27" i="7"/>
  <c r="E14" i="7"/>
  <c r="E12" i="7"/>
  <c r="E32" i="7"/>
  <c r="E10" i="7"/>
  <c r="E11" i="7"/>
  <c r="E23" i="7"/>
  <c r="E24" i="7"/>
  <c r="E16" i="7"/>
  <c r="E22" i="7"/>
  <c r="E19" i="7"/>
  <c r="E107" i="9"/>
  <c r="E108" i="9"/>
  <c r="E109" i="9"/>
  <c r="E110" i="9"/>
  <c r="E111" i="9"/>
  <c r="E112" i="9"/>
  <c r="E113" i="9"/>
  <c r="E114" i="9"/>
  <c r="E115" i="9"/>
  <c r="E116" i="9"/>
  <c r="E117" i="9"/>
  <c r="E95" i="9"/>
  <c r="E96" i="9"/>
  <c r="E97" i="9"/>
  <c r="E98" i="9"/>
  <c r="E99" i="9"/>
  <c r="E100" i="9"/>
  <c r="E101" i="9"/>
  <c r="E102" i="9"/>
  <c r="E103" i="9"/>
  <c r="E104" i="9"/>
  <c r="E105" i="9"/>
  <c r="E106" i="9"/>
  <c r="E90" i="9"/>
  <c r="E91" i="9"/>
  <c r="E92" i="9"/>
  <c r="E93" i="9"/>
  <c r="E94" i="9"/>
  <c r="E82" i="9"/>
  <c r="E83" i="9"/>
  <c r="E84" i="9"/>
  <c r="E85" i="9"/>
  <c r="E86" i="9"/>
  <c r="E87" i="9"/>
  <c r="E88" i="9"/>
  <c r="E89" i="9"/>
  <c r="E73" i="9"/>
  <c r="E74" i="9"/>
  <c r="E75" i="9"/>
  <c r="E76" i="9"/>
  <c r="E77" i="9"/>
  <c r="E78" i="9"/>
  <c r="E79" i="9"/>
  <c r="E80" i="9"/>
  <c r="E81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" i="9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" i="8"/>
  <c r="E4" i="8"/>
  <c r="E5" i="8"/>
  <c r="E6" i="8"/>
  <c r="E7" i="8"/>
  <c r="E8" i="8"/>
  <c r="E9" i="8"/>
  <c r="E10" i="8"/>
  <c r="E2" i="8"/>
  <c r="D2" i="5"/>
  <c r="D4" i="6"/>
  <c r="D5" i="6"/>
  <c r="D3" i="6"/>
  <c r="D3" i="5"/>
  <c r="D4" i="5"/>
  <c r="D5" i="5"/>
  <c r="B115" i="9"/>
  <c r="B116" i="9"/>
  <c r="B108" i="9"/>
  <c r="B109" i="9"/>
  <c r="B110" i="9"/>
  <c r="B111" i="9"/>
  <c r="B112" i="9"/>
  <c r="B113" i="9"/>
  <c r="B114" i="9"/>
  <c r="B98" i="9"/>
  <c r="B99" i="9"/>
  <c r="B100" i="9"/>
  <c r="B101" i="9"/>
  <c r="B102" i="9"/>
  <c r="B103" i="9"/>
  <c r="B104" i="9"/>
  <c r="B105" i="9"/>
  <c r="B106" i="9"/>
  <c r="B107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75" i="9"/>
  <c r="B72" i="9"/>
  <c r="B69" i="9"/>
  <c r="B70" i="9"/>
  <c r="B71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49" i="9"/>
  <c r="B31" i="9"/>
  <c r="B45" i="9"/>
  <c r="B41" i="9"/>
  <c r="B42" i="9"/>
  <c r="B43" i="9"/>
  <c r="B44" i="9"/>
  <c r="B25" i="9"/>
  <c r="B26" i="9"/>
  <c r="B27" i="9"/>
  <c r="B28" i="9"/>
  <c r="B29" i="9"/>
  <c r="B30" i="9"/>
  <c r="B32" i="9"/>
  <c r="B33" i="9"/>
  <c r="B34" i="9"/>
  <c r="B35" i="9"/>
  <c r="B36" i="9"/>
  <c r="B37" i="9"/>
  <c r="B38" i="9"/>
  <c r="B39" i="9"/>
  <c r="B40" i="9"/>
  <c r="B24" i="9"/>
</calcChain>
</file>

<file path=xl/sharedStrings.xml><?xml version="1.0" encoding="utf-8"?>
<sst xmlns="http://schemas.openxmlformats.org/spreadsheetml/2006/main" count="656" uniqueCount="361">
  <si>
    <t>Тип транспортных средств </t>
  </si>
  <si>
    <t>Налог_2025</t>
  </si>
  <si>
    <t>Налог_2026</t>
  </si>
  <si>
    <t>Легковой автомобиль не более 1 т</t>
  </si>
  <si>
    <t>183 </t>
  </si>
  <si>
    <t>196 </t>
  </si>
  <si>
    <t>Легковой автомобиль более 1 т, но не более 2 т</t>
  </si>
  <si>
    <t>237 </t>
  </si>
  <si>
    <t>253 </t>
  </si>
  <si>
    <t>Легковой автомобиль более 2 т, но не более 3 т</t>
  </si>
  <si>
    <t>289 </t>
  </si>
  <si>
    <t>309 </t>
  </si>
  <si>
    <t>Легковой автомобиль более 3 т</t>
  </si>
  <si>
    <t>368 </t>
  </si>
  <si>
    <t>393 </t>
  </si>
  <si>
    <t>Прицеп не более 0,75 т </t>
  </si>
  <si>
    <t>132 </t>
  </si>
  <si>
    <t>141 </t>
  </si>
  <si>
    <t>Прицеп более 0,75 т </t>
  </si>
  <si>
    <t>315 </t>
  </si>
  <si>
    <t>337 </t>
  </si>
  <si>
    <t>Прицеп-дача (караван)</t>
  </si>
  <si>
    <t>Грузовик не более 2,5 т </t>
  </si>
  <si>
    <t>Грузовик более 2,5 т, но не более 3,5 т </t>
  </si>
  <si>
    <t>447 </t>
  </si>
  <si>
    <t>477 </t>
  </si>
  <si>
    <t>Грузовик более 3,5 т, но не более 12 т </t>
  </si>
  <si>
    <t>578 </t>
  </si>
  <si>
    <t>617 </t>
  </si>
  <si>
    <t>Грузовик более 12 т</t>
  </si>
  <si>
    <t>658 </t>
  </si>
  <si>
    <t>702 </t>
  </si>
  <si>
    <t>Автобус на 20 мест включительно </t>
  </si>
  <si>
    <t>Автобус на 21-40 мест</t>
  </si>
  <si>
    <t>Автобус на 40 и более мест</t>
  </si>
  <si>
    <t>Мотоцикл </t>
  </si>
  <si>
    <t>79 </t>
  </si>
  <si>
    <t>Седельный тягач </t>
  </si>
  <si>
    <t>526 </t>
  </si>
  <si>
    <t>Природные ресурсы</t>
  </si>
  <si>
    <t>Налог-2025</t>
  </si>
  <si>
    <t>Гипс </t>
  </si>
  <si>
    <t>1,5808 </t>
  </si>
  <si>
    <t>1,6868 </t>
  </si>
  <si>
    <t>Железные руды</t>
  </si>
  <si>
    <t>1,5083 </t>
  </si>
  <si>
    <t>1,6094 </t>
  </si>
  <si>
    <t>Мел, мергель, известняк и доломит</t>
  </si>
  <si>
    <t>0,1886 </t>
  </si>
  <si>
    <t>0,2013 </t>
  </si>
  <si>
    <t>Песок (стекло, керамика, цемент)</t>
  </si>
  <si>
    <t>0,2901 </t>
  </si>
  <si>
    <t>0,3096 </t>
  </si>
  <si>
    <t>Сапропель влажностью 60%</t>
  </si>
  <si>
    <t>0,0175 </t>
  </si>
  <si>
    <t>0,0187 </t>
  </si>
  <si>
    <t>Каменная соль</t>
  </si>
  <si>
    <t>1,3632 </t>
  </si>
  <si>
    <t>1,4546 </t>
  </si>
  <si>
    <t>Торф влажностью 40%</t>
  </si>
  <si>
    <t>0,0812 </t>
  </si>
  <si>
    <t>0,0867 </t>
  </si>
  <si>
    <t>Бурый уголь</t>
  </si>
  <si>
    <t>3,1036 </t>
  </si>
  <si>
    <t>3,3116 </t>
  </si>
  <si>
    <t>Горючие сланцы</t>
  </si>
  <si>
    <t>0,6815 </t>
  </si>
  <si>
    <t>0,7272 </t>
  </si>
  <si>
    <t>Бентонитовые глины</t>
  </si>
  <si>
    <t> 1,1602</t>
  </si>
  <si>
    <t>Глины, супеси, суглинок и трепел</t>
  </si>
  <si>
    <t>Строительный камень</t>
  </si>
  <si>
    <t>Облицовочный камень</t>
  </si>
  <si>
    <t xml:space="preserve"> 2,9005 </t>
  </si>
  <si>
    <t>Минерализованная промышленная вода для добычи нефти</t>
  </si>
  <si>
    <t xml:space="preserve"> 0,8556 </t>
  </si>
  <si>
    <t>Мореный дуб</t>
  </si>
  <si>
    <t xml:space="preserve"> 125,6512 </t>
  </si>
  <si>
    <t>Песок для дорожного строительства</t>
  </si>
  <si>
    <t xml:space="preserve"> 0,0798 </t>
  </si>
  <si>
    <t>Песок для иных целей</t>
  </si>
  <si>
    <t> 0,1436</t>
  </si>
  <si>
    <t>Валунно-гравийно-песчаная смесь для дорожного строительства</t>
  </si>
  <si>
    <t>Валунно-гравийно-песчаная смесь для иного использования</t>
  </si>
  <si>
    <t> 0,2611</t>
  </si>
  <si>
    <t>Подземные и поверхностные воды для населения</t>
  </si>
  <si>
    <t> 0,0175</t>
  </si>
  <si>
    <t>Подземные и поверхностные воды для животноводства, растениеводства, рыбоводства</t>
  </si>
  <si>
    <t xml:space="preserve"> 0,0018 </t>
  </si>
  <si>
    <t>Пресные и минеральные воды для производства алкогольных, безалкогольных, слабоалкогольных напитков и пива</t>
  </si>
  <si>
    <t xml:space="preserve"> 5,3949 </t>
  </si>
  <si>
    <t>Подземные и поверхностные воды для иного использования</t>
  </si>
  <si>
    <t> 0,0493</t>
  </si>
  <si>
    <t>Минерализованные промышленные воды для иного использования</t>
  </si>
  <si>
    <t> 0,2901</t>
  </si>
  <si>
    <t>Смесь глины, песка, валунно-гравийно песчаной смеси из внутрихозяйственных карьеров</t>
  </si>
  <si>
    <t>Янтарь</t>
  </si>
  <si>
    <t>Золото</t>
  </si>
  <si>
    <t>Виноградная улитка</t>
  </si>
  <si>
    <t>Личинки хирономид</t>
  </si>
  <si>
    <t>Зеленая  лягушка (прудовая, съедобная, озерная)</t>
  </si>
  <si>
    <t>Длиннопалый (узкопалый) рак</t>
  </si>
  <si>
    <t>изъятие гадюки обыкновенной</t>
  </si>
  <si>
    <t>Способ обращения с отходами</t>
  </si>
  <si>
    <t>Категории отходов</t>
  </si>
  <si>
    <t>Конкретный вид отхода</t>
  </si>
  <si>
    <t>Ставка_2025</t>
  </si>
  <si>
    <t>Ставка_2026</t>
  </si>
  <si>
    <t>Рост_налога</t>
  </si>
  <si>
    <t>Захоронение или использование в качестве изолирующего слоя</t>
  </si>
  <si>
    <t>неопасные отходы производства</t>
  </si>
  <si>
    <t>опасные отходы производства III класса</t>
  </si>
  <si>
    <t>опасные отходы производства IV класса</t>
  </si>
  <si>
    <t>Хранение</t>
  </si>
  <si>
    <t xml:space="preserve">неопасные отходы </t>
  </si>
  <si>
    <t>опасные отходы I класса</t>
  </si>
  <si>
    <t>опасные отходы II класса</t>
  </si>
  <si>
    <t>опасные отходы III класса</t>
  </si>
  <si>
    <t>лигнин</t>
  </si>
  <si>
    <t>осадок из отстойников</t>
  </si>
  <si>
    <t>опасные отходы IV класса</t>
  </si>
  <si>
    <t>галитовые отходы, фосфогипс</t>
  </si>
  <si>
    <t>ил очистных сооружений</t>
  </si>
  <si>
    <t>иные отходы</t>
  </si>
  <si>
    <t>Средняя цена реализации 1000 килограммов нефти в  долларах США</t>
  </si>
  <si>
    <t xml:space="preserve">До 578,4 </t>
  </si>
  <si>
    <t>От 578,4 до 650,7</t>
  </si>
  <si>
    <t xml:space="preserve">От 650,7 до 723,0 </t>
  </si>
  <si>
    <t xml:space="preserve">От 723,0 до 795,3 </t>
  </si>
  <si>
    <t xml:space="preserve">От 795,3 до 867,6 </t>
  </si>
  <si>
    <t xml:space="preserve">От 867,6 до 939,9 </t>
  </si>
  <si>
    <t>От 939,9 до 1012,2</t>
  </si>
  <si>
    <t>От 1012,2 до 1084,5</t>
  </si>
  <si>
    <t xml:space="preserve">220,08 
</t>
  </si>
  <si>
    <t xml:space="preserve">От 1084,5 до 1156,8 </t>
  </si>
  <si>
    <t xml:space="preserve">232,48 
</t>
  </si>
  <si>
    <t xml:space="preserve">От 1156,8 до 1229,1 </t>
  </si>
  <si>
    <t>От 1229,1 до 1301,4</t>
  </si>
  <si>
    <t xml:space="preserve">От 1301,4 до 1373,7 </t>
  </si>
  <si>
    <t xml:space="preserve">От 1373,7 до 1446,0 </t>
  </si>
  <si>
    <t>Свыше 1446,0</t>
  </si>
  <si>
    <t>Куда сбрасываются сточные воды</t>
  </si>
  <si>
    <t>Рост в процентах</t>
  </si>
  <si>
    <t>Сброс сточных вод  в водотоки</t>
  </si>
  <si>
    <t>Сброс сточных вод в водоемы</t>
  </si>
  <si>
    <t>Сброс сточных вод в окружающую среду после очистки</t>
  </si>
  <si>
    <t>Сброс сточных вод в недра</t>
  </si>
  <si>
    <t>Классы опасности выбросов</t>
  </si>
  <si>
    <t>Рост_ставок</t>
  </si>
  <si>
    <t>I класс</t>
  </si>
  <si>
    <t>49855, 15</t>
  </si>
  <si>
    <t>II класс</t>
  </si>
  <si>
    <t>III класс</t>
  </si>
  <si>
    <t xml:space="preserve">IV класс, а также без класса опасности </t>
  </si>
  <si>
    <t>Подакцизный_товар</t>
  </si>
  <si>
    <t>Единица налогообложения</t>
  </si>
  <si>
    <t>Спирт-сырец (для ректификации)</t>
  </si>
  <si>
    <t>за литр</t>
  </si>
  <si>
    <t>Ректификованный спирт (для производства)</t>
  </si>
  <si>
    <t>Пиво ≤0,5%</t>
  </si>
  <si>
    <t>Спиртосодержащая продукция ≤7%, а также ≥7%  для безалкогольных напитков</t>
  </si>
  <si>
    <t>Жидкости для электронных систем курения</t>
  </si>
  <si>
    <t>за миллилитр</t>
  </si>
  <si>
    <t xml:space="preserve">Нетабачные никотиносодержащие 
изделия (кроме смесей 
для кальяна) </t>
  </si>
  <si>
    <t>за килограмм</t>
  </si>
  <si>
    <t xml:space="preserve">Техспирт этиловый ректификованный </t>
  </si>
  <si>
    <t>Сигареты с фильтром до 265 рублей (I группа)</t>
  </si>
  <si>
    <t>за 1000 штук</t>
  </si>
  <si>
    <t>Сигареты без фильтра, папиросы</t>
  </si>
  <si>
    <t>Фруктово-ягодные вина и сидры (&lt;13%)</t>
  </si>
  <si>
    <t>Пиво (0,5% – 7%)</t>
  </si>
  <si>
    <t>Нетабачные никотиносодержащие смеси для кальяна</t>
  </si>
  <si>
    <t>Вина натуральные, в том числе игристые, шампанские, газированные и шипучие</t>
  </si>
  <si>
    <t xml:space="preserve">Спирт из пищевого сырья/синтетический/
денатурированный </t>
  </si>
  <si>
    <t>Вина плодовые крепленые марочные</t>
  </si>
  <si>
    <t>Сигары</t>
  </si>
  <si>
    <t>за штуку</t>
  </si>
  <si>
    <t>Прочая алкогольная продукция ≥7%</t>
  </si>
  <si>
    <t>Слабоалкогольные натуральные напитки</t>
  </si>
  <si>
    <t>Трубочный, курительный, нюхательный табак</t>
  </si>
  <si>
    <t>Табак для кальяна</t>
  </si>
  <si>
    <t>Сигариллы</t>
  </si>
  <si>
    <t>Сигареты с фильтром от 265 рублей (II группа)</t>
  </si>
  <si>
    <t>Иные слабоалкогольные напитки</t>
  </si>
  <si>
    <t>Спиртосодержащая продукция ≥7% (не для безалкогольных напитков)</t>
  </si>
  <si>
    <t>Фруктово-ягодные вина (≥13%)</t>
  </si>
  <si>
    <t>Пиво (≥7%)</t>
  </si>
  <si>
    <t>Сидры (кроме фруктово-ягодных)</t>
  </si>
  <si>
    <t>Дизельное топливо ниже класса 5</t>
  </si>
  <si>
    <t>за тонну</t>
  </si>
  <si>
    <t xml:space="preserve">Бензин не ниже класса 5 </t>
  </si>
  <si>
    <t>Бензин класса 5</t>
  </si>
  <si>
    <t>Табак для нагревания</t>
  </si>
  <si>
    <t>Дизельное топливо класса 5</t>
  </si>
  <si>
    <t>Судовое топливо</t>
  </si>
  <si>
    <t>Безалкогольные энергетические напитки</t>
  </si>
  <si>
    <t>Пивные коктейли и напитки</t>
  </si>
  <si>
    <t>Сжиженный газ марки ПБА, ПА</t>
  </si>
  <si>
    <t>за 1000 литров</t>
  </si>
  <si>
    <t>Сжиженный газ марки ПТ, БТ и других</t>
  </si>
  <si>
    <t xml:space="preserve">Природный газ для автомобильного топлива </t>
  </si>
  <si>
    <t>за 1000 куб.метров</t>
  </si>
  <si>
    <t>Моторнык масла</t>
  </si>
  <si>
    <t>Категория сельхозугодий</t>
  </si>
  <si>
    <t>Кадастровая оценка земель (общий балл)</t>
  </si>
  <si>
    <t>Ставки_2025</t>
  </si>
  <si>
    <t>Ставки_2026</t>
  </si>
  <si>
    <t>Рост_в_%</t>
  </si>
  <si>
    <t>луговые земли улучшенные</t>
  </si>
  <si>
    <t>До 6 (включительно)</t>
  </si>
  <si>
    <t>Свыше 6 и до 7 (включительно)</t>
  </si>
  <si>
    <t>Свыше 7 и до 8 (включительно)</t>
  </si>
  <si>
    <t>Свыше 8 и до 9 (включительно)</t>
  </si>
  <si>
    <t>Свыше 9 и до 10 (включительно)</t>
  </si>
  <si>
    <t>Свыше 10 и до 11 (включительно)</t>
  </si>
  <si>
    <t>Свыше 11 и до 12 (включительно)</t>
  </si>
  <si>
    <t>Свыше 12 и до 13 (включительно)</t>
  </si>
  <si>
    <t>Свыше 13 и до 14 (включительно)</t>
  </si>
  <si>
    <t>Свыше 14 и до 15 (включительно)</t>
  </si>
  <si>
    <t>Свыше 15 и до 16 (включительно)</t>
  </si>
  <si>
    <t>Свыше 16 и до 17 (включительно)</t>
  </si>
  <si>
    <t>Свыше 17 и до 18 (включительно)</t>
  </si>
  <si>
    <t>Свыше 18 и до 19 (включительно)</t>
  </si>
  <si>
    <t>Свыше 19 и до 20 (включительно)</t>
  </si>
  <si>
    <t>Свыше 20 и до 21 (включительно)</t>
  </si>
  <si>
    <t>Свыше 21 и до 22 (включительно)</t>
  </si>
  <si>
    <t xml:space="preserve">Свыше 22 и до 23 (включительно) </t>
  </si>
  <si>
    <t xml:space="preserve">Свыше 23 и до 24 (включительно) </t>
  </si>
  <si>
    <t>Свыше 24 и до 25 (включительно)</t>
  </si>
  <si>
    <t>Свыше 25 и до 26 (включительно)</t>
  </si>
  <si>
    <t>Свыше 26 и до 27 (включительно)</t>
  </si>
  <si>
    <t>Свыше 49</t>
  </si>
  <si>
    <t>луговые земли естественные</t>
  </si>
  <si>
    <t>пахотные земли, залежные земли, земли под постоянными культурами</t>
  </si>
  <si>
    <t>Область</t>
  </si>
  <si>
    <t>Районы</t>
  </si>
  <si>
    <t>Рост в %</t>
  </si>
  <si>
    <t>Брестская</t>
  </si>
  <si>
    <t>Барановичский</t>
  </si>
  <si>
    <t>Березовский</t>
  </si>
  <si>
    <t xml:space="preserve">Брестский
</t>
  </si>
  <si>
    <t>Ганцевичский</t>
  </si>
  <si>
    <t>Дрогичинский</t>
  </si>
  <si>
    <t>Жабинковский</t>
  </si>
  <si>
    <t>Ивановский</t>
  </si>
  <si>
    <t>Ивацевичский</t>
  </si>
  <si>
    <t>Каменецкий</t>
  </si>
  <si>
    <t xml:space="preserve">Кобринский </t>
  </si>
  <si>
    <t xml:space="preserve">Лунинецкий </t>
  </si>
  <si>
    <t>Ляховичский</t>
  </si>
  <si>
    <t>Малоритский</t>
  </si>
  <si>
    <t>Пинский</t>
  </si>
  <si>
    <t>Пружанский</t>
  </si>
  <si>
    <t>Столинский</t>
  </si>
  <si>
    <t>Витебская</t>
  </si>
  <si>
    <t>Бешенковичский</t>
  </si>
  <si>
    <t xml:space="preserve">Браславский </t>
  </si>
  <si>
    <t xml:space="preserve">Верхнедвинский </t>
  </si>
  <si>
    <t>Витебский</t>
  </si>
  <si>
    <t>Глубокский</t>
  </si>
  <si>
    <t>Городокский</t>
  </si>
  <si>
    <t>Докшицкий</t>
  </si>
  <si>
    <t xml:space="preserve">Дубровенский </t>
  </si>
  <si>
    <t>Лепельский</t>
  </si>
  <si>
    <t xml:space="preserve">Лиозненский </t>
  </si>
  <si>
    <t xml:space="preserve">Миорский </t>
  </si>
  <si>
    <t>Оршанский</t>
  </si>
  <si>
    <t>Полоцкий</t>
  </si>
  <si>
    <t>Поставский</t>
  </si>
  <si>
    <t>Россонский</t>
  </si>
  <si>
    <t>Сенненский</t>
  </si>
  <si>
    <t xml:space="preserve">Толочинский </t>
  </si>
  <si>
    <t>Ушачский</t>
  </si>
  <si>
    <t xml:space="preserve">Чашникский </t>
  </si>
  <si>
    <t>Шарковщинский</t>
  </si>
  <si>
    <t>Шумилинский</t>
  </si>
  <si>
    <t>Гомельская</t>
  </si>
  <si>
    <t xml:space="preserve">Брагинский </t>
  </si>
  <si>
    <t>Буда-Кошелевский</t>
  </si>
  <si>
    <t>Ветковский</t>
  </si>
  <si>
    <t xml:space="preserve">Гомельский </t>
  </si>
  <si>
    <t>Добрушский</t>
  </si>
  <si>
    <t xml:space="preserve">Ельский </t>
  </si>
  <si>
    <t>Житковичский</t>
  </si>
  <si>
    <t>Жлобинский</t>
  </si>
  <si>
    <t>Калинковичский</t>
  </si>
  <si>
    <t>Кормянский</t>
  </si>
  <si>
    <t>Лельчицкий</t>
  </si>
  <si>
    <t xml:space="preserve">Лоевский </t>
  </si>
  <si>
    <t>Мозырский</t>
  </si>
  <si>
    <t xml:space="preserve">Наровлянский </t>
  </si>
  <si>
    <t>Октябрьский</t>
  </si>
  <si>
    <t xml:space="preserve">Петриковский </t>
  </si>
  <si>
    <t>Речицкий</t>
  </si>
  <si>
    <t>Рогачевский</t>
  </si>
  <si>
    <t xml:space="preserve">Светлогорский </t>
  </si>
  <si>
    <t xml:space="preserve">Хойникский </t>
  </si>
  <si>
    <t>Чечерский</t>
  </si>
  <si>
    <t>Гродненская</t>
  </si>
  <si>
    <t>Берестовицкий</t>
  </si>
  <si>
    <t>Волковысский</t>
  </si>
  <si>
    <t xml:space="preserve">Вороновский </t>
  </si>
  <si>
    <t>Гродненский</t>
  </si>
  <si>
    <t>Дятловский</t>
  </si>
  <si>
    <t>Зельвенский</t>
  </si>
  <si>
    <t xml:space="preserve">Ивьевский </t>
  </si>
  <si>
    <t>Кореличский</t>
  </si>
  <si>
    <t>Лидский</t>
  </si>
  <si>
    <t>Мостовский</t>
  </si>
  <si>
    <t>Новогрудский</t>
  </si>
  <si>
    <t>Островецкий</t>
  </si>
  <si>
    <t>Ошмянский</t>
  </si>
  <si>
    <t>Свислочский</t>
  </si>
  <si>
    <t>Слонимский</t>
  </si>
  <si>
    <t>Сморгонский</t>
  </si>
  <si>
    <t xml:space="preserve">Щучинский </t>
  </si>
  <si>
    <t>Минская</t>
  </si>
  <si>
    <t>Березинский</t>
  </si>
  <si>
    <t>Борисовский</t>
  </si>
  <si>
    <t>Вилейский</t>
  </si>
  <si>
    <t>Воложинский</t>
  </si>
  <si>
    <t xml:space="preserve">Дзержинский </t>
  </si>
  <si>
    <t>Клецкий</t>
  </si>
  <si>
    <t>Копыльский</t>
  </si>
  <si>
    <t xml:space="preserve">Крупский </t>
  </si>
  <si>
    <t xml:space="preserve">Логойский </t>
  </si>
  <si>
    <t>Любанский</t>
  </si>
  <si>
    <t xml:space="preserve">Минский </t>
  </si>
  <si>
    <t>Молодечненский</t>
  </si>
  <si>
    <t>Мядельский</t>
  </si>
  <si>
    <t>Несвижский</t>
  </si>
  <si>
    <t>Пуховичский</t>
  </si>
  <si>
    <t>Слуцкий</t>
  </si>
  <si>
    <t>Смолевичский</t>
  </si>
  <si>
    <t xml:space="preserve">Солигорский </t>
  </si>
  <si>
    <t xml:space="preserve">Стародорожский </t>
  </si>
  <si>
    <t>Столбцовский</t>
  </si>
  <si>
    <t>Узденский</t>
  </si>
  <si>
    <t>Червенский</t>
  </si>
  <si>
    <t>Могилевская</t>
  </si>
  <si>
    <t>Белыничский</t>
  </si>
  <si>
    <t>Бобруйский</t>
  </si>
  <si>
    <t>Быховский</t>
  </si>
  <si>
    <t>Глусский</t>
  </si>
  <si>
    <t xml:space="preserve">Горецкий </t>
  </si>
  <si>
    <t>Дрибинский</t>
  </si>
  <si>
    <t>Кировский</t>
  </si>
  <si>
    <t>Климовичский</t>
  </si>
  <si>
    <t>Кличевский</t>
  </si>
  <si>
    <t>Костюковичский</t>
  </si>
  <si>
    <t>Краснопольский</t>
  </si>
  <si>
    <t>Кричевский</t>
  </si>
  <si>
    <t xml:space="preserve">Круглянский </t>
  </si>
  <si>
    <t>Могилевский</t>
  </si>
  <si>
    <t xml:space="preserve">Мстиславский </t>
  </si>
  <si>
    <t>Осиповичский</t>
  </si>
  <si>
    <t>Славгородский</t>
  </si>
  <si>
    <t>Хотимский</t>
  </si>
  <si>
    <t xml:space="preserve">Чаусский </t>
  </si>
  <si>
    <t xml:space="preserve">Чериковский </t>
  </si>
  <si>
    <t xml:space="preserve">Шкловский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</si>
</sst>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2"/>
      <name val="Aptos"/>
      <charset val="1"/>
    </font>
    <font>
      <sz val="12"/>
      <color rgb="FF3E4040"/>
      <name val="Aptos"/>
      <charset val="1"/>
    </font>
    <font>
      <sz val="12"/>
      <color theme="1"/>
      <name val="Aptos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0" borderId="5" xfId="0" applyFont="1" applyBorder="1"/>
    <xf numFmtId="0" fontId="1" fillId="0" borderId="5" xfId="0" applyFont="1" applyBorder="1" applyAlignment="1">
      <alignment wrapText="1" readingOrder="1"/>
    </xf>
    <xf numFmtId="0" fontId="3" fillId="0" borderId="0" xfId="0" applyFont="1"/>
    <xf numFmtId="0" fontId="0" fillId="0" borderId="0" xfId="0" applyAlignment="1">
      <alignment wrapText="1"/>
    </xf>
    <xf numFmtId="0" fontId="0" fillId="0" borderId="7" xfId="0" applyBorder="1"/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" fontId="1" fillId="0" borderId="2" xfId="0" applyNumberFormat="1" applyFont="1" applyBorder="1" applyAlignment="1">
      <alignment horizontal="left" wrapText="1" readingOrder="1"/>
    </xf>
    <xf numFmtId="1" fontId="1" fillId="0" borderId="4" xfId="0" applyNumberFormat="1" applyFont="1" applyBorder="1" applyAlignment="1">
      <alignment horizontal="left" wrapText="1" readingOrder="1"/>
    </xf>
    <xf numFmtId="1" fontId="1" fillId="0" borderId="6" xfId="0" applyNumberFormat="1" applyFont="1" applyBorder="1" applyAlignment="1">
      <alignment horizontal="left" wrapText="1" readingOrder="1"/>
    </xf>
    <xf numFmtId="1" fontId="0" fillId="0" borderId="0" xfId="0" applyNumberFormat="1" applyAlignment="1">
      <alignment horizontal="left"/>
    </xf>
    <xf numFmtId="164" fontId="1" fillId="0" borderId="2" xfId="0" applyNumberFormat="1" applyFont="1" applyBorder="1" applyAlignment="1">
      <alignment horizontal="left" wrapText="1" readingOrder="1"/>
    </xf>
    <xf numFmtId="164" fontId="2" fillId="0" borderId="4" xfId="0" applyNumberFormat="1" applyFont="1" applyBorder="1" applyAlignment="1">
      <alignment horizontal="left" wrapText="1" readingOrder="1"/>
    </xf>
    <xf numFmtId="164" fontId="1" fillId="0" borderId="4" xfId="0" applyNumberFormat="1" applyFont="1" applyBorder="1" applyAlignment="1">
      <alignment horizontal="left" wrapText="1" readingOrder="1"/>
    </xf>
    <xf numFmtId="164" fontId="2" fillId="0" borderId="6" xfId="0" applyNumberFormat="1" applyFont="1" applyBorder="1" applyAlignment="1">
      <alignment horizontal="left" wrapText="1" readingOrder="1"/>
    </xf>
    <xf numFmtId="164" fontId="1" fillId="0" borderId="6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  <xf numFmtId="2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  <xf numFmtId="2" fontId="4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2" fontId="4" fillId="0" borderId="0" xfId="0" applyNumberFormat="1" applyFont="1" applyAlignment="1">
      <alignment wrapText="1"/>
    </xf>
    <xf numFmtId="2" fontId="5" fillId="0" borderId="0" xfId="0" applyNumberFormat="1" applyFont="1"/>
    <xf numFmtId="2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7" sqref="A7"/>
    </sheetView>
  </sheetViews>
  <sheetFormatPr defaultRowHeight="15"/>
  <cols>
    <col min="1" max="1" width="33.140625" bestFit="1" customWidth="1"/>
    <col min="2" max="2" width="9.140625" style="22"/>
    <col min="3" max="3" width="9.140625" style="16"/>
  </cols>
  <sheetData>
    <row r="1" spans="1:3" ht="30.75">
      <c r="A1" s="1" t="s">
        <v>0</v>
      </c>
      <c r="B1" s="17" t="s">
        <v>1</v>
      </c>
      <c r="C1" s="13" t="s">
        <v>2</v>
      </c>
    </row>
    <row r="2" spans="1:3" ht="30.75">
      <c r="A2" s="2" t="s">
        <v>3</v>
      </c>
      <c r="B2" s="18" t="s">
        <v>4</v>
      </c>
      <c r="C2" s="14" t="s">
        <v>5</v>
      </c>
    </row>
    <row r="3" spans="1:3" ht="30.75">
      <c r="A3" s="2" t="s">
        <v>6</v>
      </c>
      <c r="B3" s="19" t="s">
        <v>7</v>
      </c>
      <c r="C3" s="14" t="s">
        <v>8</v>
      </c>
    </row>
    <row r="4" spans="1:3" ht="30.75">
      <c r="A4" s="2" t="s">
        <v>9</v>
      </c>
      <c r="B4" s="19" t="s">
        <v>10</v>
      </c>
      <c r="C4" s="14" t="s">
        <v>11</v>
      </c>
    </row>
    <row r="5" spans="1:3" ht="15.75">
      <c r="A5" s="3" t="s">
        <v>12</v>
      </c>
      <c r="B5" s="20" t="s">
        <v>13</v>
      </c>
      <c r="C5" s="15" t="s">
        <v>14</v>
      </c>
    </row>
    <row r="6" spans="1:3" ht="15.75">
      <c r="A6" s="2" t="s">
        <v>15</v>
      </c>
      <c r="B6" s="19" t="s">
        <v>16</v>
      </c>
      <c r="C6" s="14" t="s">
        <v>17</v>
      </c>
    </row>
    <row r="7" spans="1:3" ht="15.75">
      <c r="A7" s="2" t="s">
        <v>18</v>
      </c>
      <c r="B7" s="19" t="s">
        <v>19</v>
      </c>
      <c r="C7" s="14" t="s">
        <v>20</v>
      </c>
    </row>
    <row r="8" spans="1:3" ht="15.75">
      <c r="A8" s="4" t="s">
        <v>21</v>
      </c>
      <c r="B8" s="21" t="s">
        <v>16</v>
      </c>
      <c r="C8" s="15" t="s">
        <v>17</v>
      </c>
    </row>
    <row r="9" spans="1:3" ht="15.75">
      <c r="A9" s="2" t="s">
        <v>22</v>
      </c>
      <c r="B9" s="19" t="s">
        <v>19</v>
      </c>
      <c r="C9" s="14" t="s">
        <v>20</v>
      </c>
    </row>
    <row r="10" spans="1:3" ht="30.75">
      <c r="A10" s="2" t="s">
        <v>23</v>
      </c>
      <c r="B10" s="19" t="s">
        <v>24</v>
      </c>
      <c r="C10" s="14" t="s">
        <v>25</v>
      </c>
    </row>
    <row r="11" spans="1:3" ht="30.75">
      <c r="A11" s="2" t="s">
        <v>26</v>
      </c>
      <c r="B11" s="19" t="s">
        <v>27</v>
      </c>
      <c r="C11" s="14" t="s">
        <v>28</v>
      </c>
    </row>
    <row r="12" spans="1:3" ht="15.75">
      <c r="A12" s="2" t="s">
        <v>29</v>
      </c>
      <c r="B12" s="19" t="s">
        <v>30</v>
      </c>
      <c r="C12" s="14" t="s">
        <v>31</v>
      </c>
    </row>
    <row r="13" spans="1:3" ht="30.75">
      <c r="A13" s="4" t="s">
        <v>32</v>
      </c>
      <c r="B13" s="21" t="s">
        <v>19</v>
      </c>
      <c r="C13" s="15">
        <v>337</v>
      </c>
    </row>
    <row r="14" spans="1:3" ht="15.75">
      <c r="A14" s="2" t="s">
        <v>33</v>
      </c>
      <c r="B14" s="19" t="s">
        <v>24</v>
      </c>
      <c r="C14" s="14">
        <v>477</v>
      </c>
    </row>
    <row r="15" spans="1:3" ht="15.75">
      <c r="A15" s="4" t="s">
        <v>34</v>
      </c>
      <c r="B15" s="21" t="s">
        <v>27</v>
      </c>
      <c r="C15" s="15">
        <v>617</v>
      </c>
    </row>
    <row r="16" spans="1:3" ht="15.75">
      <c r="A16" s="2" t="s">
        <v>35</v>
      </c>
      <c r="B16" s="19" t="s">
        <v>36</v>
      </c>
      <c r="C16" s="14">
        <v>85</v>
      </c>
    </row>
    <row r="17" spans="1:3" ht="15.75">
      <c r="A17" s="2" t="s">
        <v>37</v>
      </c>
      <c r="B17" s="19" t="s">
        <v>38</v>
      </c>
      <c r="C17" s="14"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E41C-6508-4947-99C1-6794BFB9E6F3}">
  <dimension ref="A1:C33"/>
  <sheetViews>
    <sheetView workbookViewId="0">
      <selection activeCell="A5" sqref="A5"/>
    </sheetView>
  </sheetViews>
  <sheetFormatPr defaultRowHeight="15"/>
  <cols>
    <col min="1" max="1" width="36.5703125" bestFit="1" customWidth="1"/>
    <col min="2" max="2" width="10.140625" style="23" bestFit="1" customWidth="1"/>
    <col min="3" max="3" width="11.5703125" style="23" bestFit="1" customWidth="1"/>
  </cols>
  <sheetData>
    <row r="1" spans="1:3">
      <c r="A1" t="s">
        <v>39</v>
      </c>
      <c r="B1" s="23" t="s">
        <v>40</v>
      </c>
      <c r="C1" s="23" t="s">
        <v>2</v>
      </c>
    </row>
    <row r="2" spans="1:3">
      <c r="A2" t="s">
        <v>41</v>
      </c>
      <c r="B2" s="23" t="s">
        <v>42</v>
      </c>
      <c r="C2" s="23" t="s">
        <v>43</v>
      </c>
    </row>
    <row r="3" spans="1:3">
      <c r="A3" t="s">
        <v>44</v>
      </c>
      <c r="B3" s="23" t="s">
        <v>45</v>
      </c>
      <c r="C3" s="23" t="s">
        <v>46</v>
      </c>
    </row>
    <row r="4" spans="1:3">
      <c r="A4" t="s">
        <v>47</v>
      </c>
      <c r="B4" s="23" t="s">
        <v>48</v>
      </c>
      <c r="C4" s="23" t="s">
        <v>49</v>
      </c>
    </row>
    <row r="5" spans="1:3">
      <c r="A5" s="6" t="s">
        <v>50</v>
      </c>
      <c r="B5" s="23" t="s">
        <v>51</v>
      </c>
      <c r="C5" s="23" t="s">
        <v>52</v>
      </c>
    </row>
    <row r="6" spans="1:3">
      <c r="A6" t="s">
        <v>53</v>
      </c>
      <c r="B6" s="23" t="s">
        <v>54</v>
      </c>
      <c r="C6" s="23" t="s">
        <v>55</v>
      </c>
    </row>
    <row r="7" spans="1:3">
      <c r="A7" t="s">
        <v>56</v>
      </c>
      <c r="B7" s="23" t="s">
        <v>57</v>
      </c>
      <c r="C7" s="23" t="s">
        <v>58</v>
      </c>
    </row>
    <row r="8" spans="1:3">
      <c r="A8" t="s">
        <v>59</v>
      </c>
      <c r="B8" s="23" t="s">
        <v>60</v>
      </c>
      <c r="C8" s="23" t="s">
        <v>61</v>
      </c>
    </row>
    <row r="9" spans="1:3">
      <c r="A9" t="s">
        <v>62</v>
      </c>
      <c r="B9" s="23" t="s">
        <v>63</v>
      </c>
      <c r="C9" s="23" t="s">
        <v>64</v>
      </c>
    </row>
    <row r="10" spans="1:3">
      <c r="A10" t="s">
        <v>65</v>
      </c>
      <c r="B10" s="23" t="s">
        <v>66</v>
      </c>
      <c r="C10" s="23" t="s">
        <v>67</v>
      </c>
    </row>
    <row r="11" spans="1:3">
      <c r="A11" t="s">
        <v>68</v>
      </c>
      <c r="B11" s="23" t="s">
        <v>69</v>
      </c>
      <c r="C11" s="23">
        <v>1.238</v>
      </c>
    </row>
    <row r="12" spans="1:3">
      <c r="A12" t="s">
        <v>70</v>
      </c>
      <c r="B12" s="23">
        <v>0.1976</v>
      </c>
      <c r="C12" s="23">
        <v>0.20130000000000001</v>
      </c>
    </row>
    <row r="13" spans="1:3">
      <c r="A13" t="s">
        <v>71</v>
      </c>
      <c r="B13" s="23" t="s">
        <v>69</v>
      </c>
      <c r="C13" s="23">
        <v>1.238</v>
      </c>
    </row>
    <row r="14" spans="1:3">
      <c r="A14" t="s">
        <v>72</v>
      </c>
      <c r="B14" s="23" t="s">
        <v>73</v>
      </c>
      <c r="C14" s="23">
        <v>3.0949</v>
      </c>
    </row>
    <row r="15" spans="1:3" ht="30.75">
      <c r="A15" s="6" t="s">
        <v>74</v>
      </c>
      <c r="B15" s="23" t="s">
        <v>75</v>
      </c>
      <c r="C15" s="23">
        <v>0.91300000000000003</v>
      </c>
    </row>
    <row r="16" spans="1:3">
      <c r="A16" t="s">
        <v>76</v>
      </c>
      <c r="B16" s="23" t="s">
        <v>77</v>
      </c>
      <c r="C16" s="23">
        <v>134.06989999999999</v>
      </c>
    </row>
    <row r="17" spans="1:3">
      <c r="A17" t="s">
        <v>78</v>
      </c>
      <c r="B17" s="23" t="s">
        <v>79</v>
      </c>
      <c r="C17" s="23">
        <v>8.5199999999999998E-2</v>
      </c>
    </row>
    <row r="18" spans="1:3">
      <c r="A18" t="s">
        <v>80</v>
      </c>
      <c r="B18" s="23" t="s">
        <v>81</v>
      </c>
      <c r="C18" s="23">
        <v>0.15329999999999999</v>
      </c>
    </row>
    <row r="19" spans="1:3" ht="30.75">
      <c r="A19" s="6" t="s">
        <v>82</v>
      </c>
      <c r="B19" s="23">
        <v>0.129</v>
      </c>
      <c r="C19" s="23">
        <v>0.13769999999999999</v>
      </c>
    </row>
    <row r="20" spans="1:3" ht="30.75">
      <c r="A20" s="6" t="s">
        <v>83</v>
      </c>
      <c r="B20" s="23" t="s">
        <v>84</v>
      </c>
      <c r="C20" s="23">
        <v>0.27860000000000001</v>
      </c>
    </row>
    <row r="21" spans="1:3" ht="30.75">
      <c r="A21" s="6" t="s">
        <v>85</v>
      </c>
      <c r="B21" s="23" t="s">
        <v>86</v>
      </c>
      <c r="C21" s="23">
        <v>1.8700000000000001E-2</v>
      </c>
    </row>
    <row r="22" spans="1:3" ht="45.75">
      <c r="A22" s="6" t="s">
        <v>87</v>
      </c>
      <c r="B22" s="23" t="s">
        <v>88</v>
      </c>
      <c r="C22" s="23">
        <v>2E-3</v>
      </c>
    </row>
    <row r="23" spans="1:3" ht="60.75">
      <c r="A23" s="6" t="s">
        <v>89</v>
      </c>
      <c r="B23" s="23" t="s">
        <v>90</v>
      </c>
      <c r="C23" s="23">
        <v>5.7564000000000002</v>
      </c>
    </row>
    <row r="24" spans="1:3" ht="30.75">
      <c r="A24" s="6" t="s">
        <v>91</v>
      </c>
      <c r="B24" s="23" t="s">
        <v>92</v>
      </c>
      <c r="C24" s="23">
        <v>5.2600000000000001E-2</v>
      </c>
    </row>
    <row r="25" spans="1:3" ht="30.75">
      <c r="A25" s="6" t="s">
        <v>93</v>
      </c>
      <c r="B25" s="23" t="s">
        <v>94</v>
      </c>
      <c r="C25" s="23">
        <v>0.30959999999999999</v>
      </c>
    </row>
    <row r="26" spans="1:3" ht="45.75">
      <c r="A26" s="6" t="s">
        <v>95</v>
      </c>
      <c r="B26" s="23">
        <v>0.1976</v>
      </c>
      <c r="C26" s="23">
        <v>0.2109</v>
      </c>
    </row>
    <row r="27" spans="1:3" s="5" customFormat="1" ht="15.75">
      <c r="A27" t="s">
        <v>96</v>
      </c>
      <c r="B27" s="23">
        <v>18.867999999999999</v>
      </c>
      <c r="C27" s="23">
        <v>20.132200000000001</v>
      </c>
    </row>
    <row r="28" spans="1:3" s="5" customFormat="1" ht="15.75">
      <c r="A28" t="s">
        <v>97</v>
      </c>
      <c r="B28" s="23">
        <v>2.5089999999999999</v>
      </c>
      <c r="C28" s="23">
        <v>2.6770999999999998</v>
      </c>
    </row>
    <row r="29" spans="1:3" s="5" customFormat="1" ht="15.75">
      <c r="A29" t="s">
        <v>98</v>
      </c>
      <c r="B29" s="23">
        <v>54.008000000000003</v>
      </c>
      <c r="C29" s="23">
        <v>57.626600000000003</v>
      </c>
    </row>
    <row r="30" spans="1:3" s="5" customFormat="1" ht="15.75">
      <c r="A30" t="s">
        <v>99</v>
      </c>
      <c r="B30" s="23">
        <v>7723.5604000000003</v>
      </c>
      <c r="C30" s="23">
        <v>8241.0390000000007</v>
      </c>
    </row>
    <row r="31" spans="1:3" s="5" customFormat="1" ht="30.75">
      <c r="A31" s="6" t="s">
        <v>100</v>
      </c>
      <c r="B31" s="23">
        <v>6285.4314999999997</v>
      </c>
      <c r="C31" s="23">
        <v>6706.5555000000004</v>
      </c>
    </row>
    <row r="32" spans="1:3" s="5" customFormat="1" ht="15.75">
      <c r="A32" t="s">
        <v>101</v>
      </c>
      <c r="B32" s="23">
        <v>2001.5</v>
      </c>
      <c r="C32" s="23">
        <v>2135.6005</v>
      </c>
    </row>
    <row r="33" spans="1:3" s="5" customFormat="1" ht="15.75">
      <c r="A33" t="s">
        <v>102</v>
      </c>
      <c r="B33" s="23">
        <v>9.2527000000000008</v>
      </c>
      <c r="C33" s="23">
        <v>9.8727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ABDF-7288-45DE-82DA-8D9CB95A4138}">
  <dimension ref="A1:F13"/>
  <sheetViews>
    <sheetView tabSelected="1" workbookViewId="0">
      <selection activeCell="C1" sqref="C1"/>
    </sheetView>
  </sheetViews>
  <sheetFormatPr defaultRowHeight="15"/>
  <cols>
    <col min="1" max="2" width="36.5703125" style="35" bestFit="1" customWidth="1"/>
    <col min="3" max="3" width="36.5703125" style="35" customWidth="1"/>
    <col min="4" max="4" width="25.85546875" style="26" bestFit="1" customWidth="1"/>
    <col min="5" max="5" width="25.42578125" style="9" bestFit="1" customWidth="1"/>
    <col min="6" max="6" width="12" style="27" bestFit="1" customWidth="1"/>
  </cols>
  <sheetData>
    <row r="1" spans="1:6">
      <c r="A1" s="35" t="s">
        <v>103</v>
      </c>
      <c r="B1" s="36" t="s">
        <v>104</v>
      </c>
      <c r="C1" s="36" t="s">
        <v>105</v>
      </c>
      <c r="D1" s="26" t="s">
        <v>106</v>
      </c>
      <c r="E1" s="8" t="s">
        <v>107</v>
      </c>
      <c r="F1" s="27" t="s">
        <v>108</v>
      </c>
    </row>
    <row r="2" spans="1:6" ht="29.25">
      <c r="A2" s="37" t="s">
        <v>109</v>
      </c>
      <c r="B2" s="35" t="s">
        <v>110</v>
      </c>
      <c r="D2" s="26">
        <v>8.25</v>
      </c>
      <c r="E2" s="9">
        <v>8.81</v>
      </c>
      <c r="F2" s="27">
        <v>6.14</v>
      </c>
    </row>
    <row r="3" spans="1:6" ht="30.75">
      <c r="A3" s="37" t="s">
        <v>109</v>
      </c>
      <c r="B3" s="36" t="s">
        <v>111</v>
      </c>
      <c r="C3" s="36"/>
      <c r="D3" s="26">
        <v>209.13</v>
      </c>
      <c r="E3" s="9">
        <v>223.15</v>
      </c>
      <c r="F3" s="27">
        <v>6.7</v>
      </c>
    </row>
    <row r="4" spans="1:6" ht="29.25">
      <c r="A4" s="37" t="s">
        <v>109</v>
      </c>
      <c r="B4" s="37" t="s">
        <v>112</v>
      </c>
      <c r="C4" s="37"/>
      <c r="D4" s="26">
        <v>104.29</v>
      </c>
      <c r="E4" s="9">
        <v>110.97</v>
      </c>
      <c r="F4" s="27">
        <v>6.4</v>
      </c>
    </row>
    <row r="5" spans="1:6">
      <c r="A5" s="35" t="s">
        <v>113</v>
      </c>
      <c r="B5" s="36" t="s">
        <v>114</v>
      </c>
      <c r="C5" s="36"/>
      <c r="D5" s="26">
        <v>1.8</v>
      </c>
      <c r="E5" s="9">
        <v>1.92</v>
      </c>
      <c r="F5" s="27">
        <v>6.6</v>
      </c>
    </row>
    <row r="6" spans="1:6">
      <c r="A6" s="35" t="s">
        <v>113</v>
      </c>
      <c r="B6" s="37" t="s">
        <v>115</v>
      </c>
      <c r="C6" s="37"/>
      <c r="D6" s="26">
        <v>182.51</v>
      </c>
      <c r="E6" s="9">
        <v>194.74</v>
      </c>
      <c r="F6" s="27">
        <v>6.7</v>
      </c>
    </row>
    <row r="7" spans="1:6">
      <c r="A7" s="35" t="s">
        <v>113</v>
      </c>
      <c r="B7" s="37" t="s">
        <v>116</v>
      </c>
      <c r="C7" s="37"/>
      <c r="D7" s="26">
        <v>53.56</v>
      </c>
      <c r="E7" s="9">
        <v>57.15</v>
      </c>
      <c r="F7" s="27">
        <v>6.62</v>
      </c>
    </row>
    <row r="8" spans="1:6">
      <c r="A8" s="35" t="s">
        <v>113</v>
      </c>
      <c r="B8" s="37" t="s">
        <v>117</v>
      </c>
      <c r="C8"/>
      <c r="D8" s="26">
        <v>17.8</v>
      </c>
      <c r="E8" s="9">
        <v>19</v>
      </c>
      <c r="F8" s="27">
        <v>6.7</v>
      </c>
    </row>
    <row r="9" spans="1:6">
      <c r="A9" s="35" t="s">
        <v>113</v>
      </c>
      <c r="B9" s="37" t="s">
        <v>117</v>
      </c>
      <c r="C9" s="11" t="s">
        <v>118</v>
      </c>
      <c r="D9">
        <v>3.63</v>
      </c>
      <c r="E9" s="9">
        <v>3.88</v>
      </c>
      <c r="F9" s="27">
        <v>6.9</v>
      </c>
    </row>
    <row r="10" spans="1:6">
      <c r="A10" s="35" t="s">
        <v>113</v>
      </c>
      <c r="B10" s="37" t="s">
        <v>117</v>
      </c>
      <c r="C10" s="12" t="s">
        <v>119</v>
      </c>
      <c r="D10">
        <v>0.26</v>
      </c>
      <c r="E10" s="9">
        <v>0.28000000000000003</v>
      </c>
      <c r="F10" s="27">
        <v>7.7</v>
      </c>
    </row>
    <row r="11" spans="1:6">
      <c r="A11" s="35" t="s">
        <v>113</v>
      </c>
      <c r="B11" s="11" t="s">
        <v>120</v>
      </c>
      <c r="C11" s="11" t="s">
        <v>121</v>
      </c>
      <c r="D11">
        <v>1.1000000000000001</v>
      </c>
      <c r="E11" s="9">
        <v>1.18</v>
      </c>
      <c r="F11" s="27">
        <v>7.3</v>
      </c>
    </row>
    <row r="12" spans="1:6">
      <c r="A12" s="35" t="s">
        <v>113</v>
      </c>
      <c r="B12" s="11" t="s">
        <v>120</v>
      </c>
      <c r="C12" t="s">
        <v>122</v>
      </c>
      <c r="D12" s="26">
        <v>0.2</v>
      </c>
      <c r="E12" s="9">
        <v>0.22</v>
      </c>
      <c r="F12" s="27">
        <v>10</v>
      </c>
    </row>
    <row r="13" spans="1:6">
      <c r="A13" s="35" t="s">
        <v>113</v>
      </c>
      <c r="B13" s="11" t="s">
        <v>120</v>
      </c>
      <c r="C13" s="35" t="s">
        <v>123</v>
      </c>
      <c r="D13" s="26">
        <v>8.91</v>
      </c>
      <c r="E13" s="9">
        <v>9.51</v>
      </c>
      <c r="F13" s="27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2CA1-D931-47A2-9DBC-406CC4CDEF8E}">
  <dimension ref="A1:J15"/>
  <sheetViews>
    <sheetView workbookViewId="0">
      <selection activeCell="C26" sqref="C26"/>
    </sheetView>
  </sheetViews>
  <sheetFormatPr defaultRowHeight="15"/>
  <cols>
    <col min="1" max="1" width="36.5703125" bestFit="1" customWidth="1"/>
    <col min="2" max="2" width="26.140625" style="23" bestFit="1" customWidth="1"/>
    <col min="3" max="3" width="36.5703125" style="25" bestFit="1" customWidth="1"/>
  </cols>
  <sheetData>
    <row r="1" spans="1:10" ht="30.75">
      <c r="A1" s="6" t="s">
        <v>124</v>
      </c>
      <c r="B1" s="24" t="s">
        <v>106</v>
      </c>
      <c r="C1" s="25" t="s">
        <v>107</v>
      </c>
    </row>
    <row r="2" spans="1:10">
      <c r="A2" t="s">
        <v>125</v>
      </c>
      <c r="B2" s="23">
        <v>32.03</v>
      </c>
      <c r="C2" s="25">
        <v>34.18</v>
      </c>
    </row>
    <row r="3" spans="1:10">
      <c r="A3" t="s">
        <v>126</v>
      </c>
      <c r="B3" s="23">
        <v>39.869999999999997</v>
      </c>
      <c r="C3" s="25">
        <v>42.55</v>
      </c>
    </row>
    <row r="4" spans="1:10">
      <c r="A4" t="s">
        <v>127</v>
      </c>
      <c r="B4" s="23">
        <v>67.989999999999995</v>
      </c>
      <c r="C4" s="25">
        <v>72.55</v>
      </c>
    </row>
    <row r="5" spans="1:10">
      <c r="A5" t="s">
        <v>128</v>
      </c>
      <c r="B5" s="23">
        <v>94.7</v>
      </c>
      <c r="C5" s="25">
        <v>101.05</v>
      </c>
    </row>
    <row r="6" spans="1:10">
      <c r="A6" t="s">
        <v>129</v>
      </c>
      <c r="B6" s="23">
        <v>122.81</v>
      </c>
      <c r="C6" s="25">
        <v>131.04</v>
      </c>
    </row>
    <row r="7" spans="1:10" s="7" customFormat="1">
      <c r="A7" t="s">
        <v>130</v>
      </c>
      <c r="B7" s="23">
        <v>149.16</v>
      </c>
      <c r="C7" s="25">
        <v>159.16</v>
      </c>
      <c r="D7"/>
      <c r="E7"/>
      <c r="F7"/>
      <c r="G7"/>
      <c r="H7"/>
      <c r="I7"/>
      <c r="J7"/>
    </row>
    <row r="8" spans="1:10" s="7" customFormat="1">
      <c r="A8" t="s">
        <v>131</v>
      </c>
      <c r="B8" s="23">
        <v>177.66</v>
      </c>
      <c r="C8" s="25">
        <v>189.57</v>
      </c>
      <c r="D8"/>
      <c r="E8"/>
      <c r="F8"/>
      <c r="G8"/>
      <c r="H8"/>
      <c r="I8"/>
      <c r="J8"/>
    </row>
    <row r="9" spans="1:10" s="7" customFormat="1">
      <c r="A9" t="s">
        <v>132</v>
      </c>
      <c r="B9" s="23" t="s">
        <v>133</v>
      </c>
      <c r="C9" s="25">
        <v>234.85</v>
      </c>
      <c r="D9"/>
      <c r="E9"/>
      <c r="F9"/>
      <c r="G9"/>
      <c r="H9"/>
      <c r="I9"/>
      <c r="J9"/>
    </row>
    <row r="10" spans="1:10" s="7" customFormat="1">
      <c r="A10" t="s">
        <v>134</v>
      </c>
      <c r="B10" s="23" t="s">
        <v>135</v>
      </c>
      <c r="C10" s="25">
        <v>248.06</v>
      </c>
      <c r="D10"/>
      <c r="E10"/>
      <c r="F10"/>
      <c r="G10"/>
      <c r="H10"/>
      <c r="I10"/>
      <c r="J10"/>
    </row>
    <row r="11" spans="1:10">
      <c r="A11" t="s">
        <v>136</v>
      </c>
      <c r="B11" s="23">
        <v>258.81</v>
      </c>
      <c r="C11" s="25">
        <v>276.14999999999998</v>
      </c>
    </row>
    <row r="12" spans="1:10">
      <c r="A12" t="s">
        <v>137</v>
      </c>
      <c r="B12" s="23">
        <v>285.17</v>
      </c>
      <c r="C12" s="25">
        <v>304.27999999999997</v>
      </c>
    </row>
    <row r="13" spans="1:10">
      <c r="A13" t="s">
        <v>138</v>
      </c>
      <c r="B13" s="23">
        <v>313.64</v>
      </c>
      <c r="C13" s="25">
        <v>334.66</v>
      </c>
    </row>
    <row r="14" spans="1:10">
      <c r="A14" t="s">
        <v>139</v>
      </c>
      <c r="B14" s="23">
        <v>341.78</v>
      </c>
      <c r="C14" s="25">
        <v>364.68</v>
      </c>
    </row>
    <row r="15" spans="1:10">
      <c r="A15" t="s">
        <v>140</v>
      </c>
      <c r="B15" s="23">
        <v>368.48</v>
      </c>
      <c r="C15" s="25">
        <v>393.17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4131-EFDE-469B-9D68-81E47D3A1F3E}">
  <dimension ref="A1:D5"/>
  <sheetViews>
    <sheetView workbookViewId="0">
      <selection activeCell="C1" sqref="C1"/>
    </sheetView>
  </sheetViews>
  <sheetFormatPr defaultRowHeight="15"/>
  <cols>
    <col min="1" max="1" width="36.5703125" bestFit="1" customWidth="1"/>
    <col min="2" max="3" width="25.140625" style="27" bestFit="1" customWidth="1"/>
    <col min="4" max="4" width="16.28515625" style="27" bestFit="1" customWidth="1"/>
  </cols>
  <sheetData>
    <row r="1" spans="1:4">
      <c r="A1" t="s">
        <v>141</v>
      </c>
      <c r="B1" s="27" t="s">
        <v>106</v>
      </c>
      <c r="C1" s="27" t="s">
        <v>107</v>
      </c>
      <c r="D1" s="27" t="s">
        <v>142</v>
      </c>
    </row>
    <row r="2" spans="1:4">
      <c r="A2" s="6" t="s">
        <v>143</v>
      </c>
      <c r="B2" s="27">
        <v>0.18</v>
      </c>
      <c r="C2" s="27">
        <v>0.19</v>
      </c>
      <c r="D2" s="27">
        <f>(C2 - B2) / B2 * 100</f>
        <v>5.5555555555555607</v>
      </c>
    </row>
    <row r="3" spans="1:4">
      <c r="A3" s="6" t="s">
        <v>144</v>
      </c>
      <c r="B3" s="27">
        <v>0.2</v>
      </c>
      <c r="C3" s="27">
        <v>0.21</v>
      </c>
      <c r="D3" s="27">
        <f t="shared" ref="D3:D5" si="0">(C3 - B3) / B3 * 100</f>
        <v>4.9999999999999902</v>
      </c>
    </row>
    <row r="4" spans="1:4" ht="30.75">
      <c r="A4" s="6" t="s">
        <v>145</v>
      </c>
      <c r="B4" s="27">
        <v>0.2</v>
      </c>
      <c r="C4" s="27">
        <v>0.21</v>
      </c>
      <c r="D4" s="27">
        <f t="shared" si="0"/>
        <v>4.9999999999999902</v>
      </c>
    </row>
    <row r="5" spans="1:4">
      <c r="A5" s="6" t="s">
        <v>146</v>
      </c>
      <c r="B5" s="27">
        <v>11.09</v>
      </c>
      <c r="C5" s="27">
        <v>11.83</v>
      </c>
      <c r="D5" s="27">
        <f t="shared" si="0"/>
        <v>6.6726780883679009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E8AB-01CA-44B5-BD8D-A5D9658FE3AC}">
  <dimension ref="A1:D5"/>
  <sheetViews>
    <sheetView workbookViewId="0">
      <selection activeCell="B1" sqref="B1:B1048576"/>
    </sheetView>
  </sheetViews>
  <sheetFormatPr defaultRowHeight="15"/>
  <cols>
    <col min="1" max="1" width="36.5703125" bestFit="1" customWidth="1"/>
    <col min="2" max="2" width="26.140625" style="27" bestFit="1" customWidth="1"/>
    <col min="3" max="3" width="26.140625" style="23" bestFit="1" customWidth="1"/>
    <col min="4" max="4" width="36.5703125" style="26" bestFit="1" customWidth="1"/>
  </cols>
  <sheetData>
    <row r="1" spans="1:4">
      <c r="A1" t="s">
        <v>147</v>
      </c>
      <c r="B1" s="27" t="s">
        <v>106</v>
      </c>
      <c r="C1" s="23" t="s">
        <v>107</v>
      </c>
      <c r="D1" s="26" t="s">
        <v>148</v>
      </c>
    </row>
    <row r="2" spans="1:4">
      <c r="A2" s="6" t="s">
        <v>149</v>
      </c>
      <c r="B2" s="27">
        <v>46724.6</v>
      </c>
      <c r="C2" s="23" t="s">
        <v>150</v>
      </c>
      <c r="D2" s="28">
        <v>6.7</v>
      </c>
    </row>
    <row r="3" spans="1:4">
      <c r="A3" s="6" t="s">
        <v>151</v>
      </c>
      <c r="B3" s="27">
        <v>1398.94</v>
      </c>
      <c r="C3" s="23">
        <v>1492.67</v>
      </c>
      <c r="D3" s="26">
        <f>(C3-B3)/B3*100</f>
        <v>6.7000729123479221</v>
      </c>
    </row>
    <row r="4" spans="1:4">
      <c r="A4" s="10" t="s">
        <v>152</v>
      </c>
      <c r="B4" s="27">
        <v>462.46</v>
      </c>
      <c r="C4" s="23">
        <v>493.45</v>
      </c>
      <c r="D4" s="26">
        <f t="shared" ref="D4:D5" si="0">(C4-B4)/B4*100</f>
        <v>6.7011200968732449</v>
      </c>
    </row>
    <row r="5" spans="1:4">
      <c r="A5" s="10" t="s">
        <v>153</v>
      </c>
      <c r="B5" s="27">
        <v>229.79</v>
      </c>
      <c r="C5" s="23">
        <v>245.19</v>
      </c>
      <c r="D5" s="26">
        <f t="shared" si="0"/>
        <v>6.7017711823839186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661B-E7DB-445B-9E71-D5241176DA1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1045-634E-44D5-91A1-8648E23803F8}">
  <dimension ref="A1:E40"/>
  <sheetViews>
    <sheetView topLeftCell="A6" workbookViewId="0">
      <selection activeCell="D23" sqref="D23"/>
    </sheetView>
  </sheetViews>
  <sheetFormatPr defaultRowHeight="15"/>
  <cols>
    <col min="1" max="1" width="36.5703125" style="36" bestFit="1" customWidth="1"/>
    <col min="2" max="2" width="36.5703125" style="35" customWidth="1"/>
    <col min="3" max="4" width="36.5703125" style="27" bestFit="1" customWidth="1"/>
    <col min="5" max="5" width="12.140625" style="27" bestFit="1" customWidth="1"/>
  </cols>
  <sheetData>
    <row r="1" spans="1:5">
      <c r="A1" s="36" t="s">
        <v>154</v>
      </c>
      <c r="B1" s="35" t="s">
        <v>155</v>
      </c>
      <c r="C1" s="34" t="s">
        <v>106</v>
      </c>
      <c r="D1" s="34" t="s">
        <v>107</v>
      </c>
      <c r="E1" s="27" t="s">
        <v>108</v>
      </c>
    </row>
    <row r="2" spans="1:5">
      <c r="A2" s="36" t="s">
        <v>156</v>
      </c>
      <c r="B2" s="35" t="s">
        <v>157</v>
      </c>
      <c r="C2" s="27">
        <v>0</v>
      </c>
      <c r="D2" s="27">
        <v>0</v>
      </c>
      <c r="E2" s="27">
        <v>0</v>
      </c>
    </row>
    <row r="3" spans="1:5" ht="30.75">
      <c r="A3" s="36" t="s">
        <v>158</v>
      </c>
      <c r="B3" s="35" t="s">
        <v>157</v>
      </c>
      <c r="C3" s="27">
        <v>0</v>
      </c>
      <c r="D3" s="27">
        <v>0</v>
      </c>
      <c r="E3" s="27">
        <v>0</v>
      </c>
    </row>
    <row r="4" spans="1:5">
      <c r="A4" s="36" t="s">
        <v>159</v>
      </c>
      <c r="B4" s="35" t="s">
        <v>157</v>
      </c>
      <c r="C4" s="27">
        <v>0</v>
      </c>
      <c r="D4" s="27">
        <v>0</v>
      </c>
      <c r="E4" s="27">
        <v>0</v>
      </c>
    </row>
    <row r="5" spans="1:5" ht="45.75">
      <c r="A5" s="36" t="s">
        <v>160</v>
      </c>
      <c r="B5" s="35" t="s">
        <v>157</v>
      </c>
      <c r="C5" s="27">
        <v>0</v>
      </c>
      <c r="D5" s="27">
        <v>0</v>
      </c>
      <c r="E5" s="27">
        <v>0</v>
      </c>
    </row>
    <row r="6" spans="1:5" ht="30.75">
      <c r="A6" s="36" t="s">
        <v>161</v>
      </c>
      <c r="B6" s="35" t="s">
        <v>162</v>
      </c>
      <c r="C6" s="27">
        <v>0.85</v>
      </c>
      <c r="D6" s="27">
        <v>1.02</v>
      </c>
      <c r="E6" s="27">
        <f>(D6-C6)/C6*100</f>
        <v>20.000000000000004</v>
      </c>
    </row>
    <row r="7" spans="1:5" ht="45.75">
      <c r="A7" s="36" t="s">
        <v>163</v>
      </c>
      <c r="B7" s="35" t="s">
        <v>164</v>
      </c>
      <c r="C7" s="27">
        <v>102.51</v>
      </c>
      <c r="D7" s="27">
        <v>123.01</v>
      </c>
      <c r="E7" s="27">
        <f>(D7-C7)/C7*100</f>
        <v>19.998048970832112</v>
      </c>
    </row>
    <row r="8" spans="1:5">
      <c r="A8" s="36" t="s">
        <v>165</v>
      </c>
      <c r="B8" s="35" t="s">
        <v>157</v>
      </c>
      <c r="C8" s="27">
        <v>0.6</v>
      </c>
      <c r="D8" s="27">
        <v>0.7</v>
      </c>
      <c r="E8" s="27">
        <f>(D8-C8)/C8*100</f>
        <v>16.666666666666664</v>
      </c>
    </row>
    <row r="9" spans="1:5" ht="30.75">
      <c r="A9" s="36" t="s">
        <v>166</v>
      </c>
      <c r="B9" s="35" t="s">
        <v>167</v>
      </c>
      <c r="C9" s="27">
        <v>119.59</v>
      </c>
      <c r="D9" s="27">
        <v>133.94</v>
      </c>
      <c r="E9" s="27">
        <f>(D9-C9)/C9*100</f>
        <v>11.999331047746461</v>
      </c>
    </row>
    <row r="10" spans="1:5">
      <c r="A10" s="36" t="s">
        <v>168</v>
      </c>
      <c r="B10" s="35" t="s">
        <v>167</v>
      </c>
      <c r="C10" s="27">
        <v>119.59</v>
      </c>
      <c r="D10" s="27">
        <v>133.94</v>
      </c>
      <c r="E10" s="27">
        <f>(D10-C10)/C10*100</f>
        <v>11.999331047746461</v>
      </c>
    </row>
    <row r="11" spans="1:5" ht="30.75">
      <c r="A11" s="36" t="s">
        <v>169</v>
      </c>
      <c r="B11" s="35" t="s">
        <v>157</v>
      </c>
      <c r="C11" s="27">
        <v>0.24</v>
      </c>
      <c r="D11" s="27">
        <v>0.26</v>
      </c>
      <c r="E11" s="27">
        <f>(D11-C11)/C11*100</f>
        <v>8.333333333333341</v>
      </c>
    </row>
    <row r="12" spans="1:5">
      <c r="A12" s="36" t="s">
        <v>170</v>
      </c>
      <c r="B12" s="35" t="s">
        <v>157</v>
      </c>
      <c r="C12" s="27">
        <v>0.5</v>
      </c>
      <c r="D12" s="27">
        <v>0.54</v>
      </c>
      <c r="E12" s="27">
        <f>(D12-C12)/C12*100</f>
        <v>8.0000000000000071</v>
      </c>
    </row>
    <row r="13" spans="1:5" ht="30.75">
      <c r="A13" s="36" t="s">
        <v>171</v>
      </c>
      <c r="B13" s="35" t="s">
        <v>164</v>
      </c>
      <c r="C13" s="27">
        <v>10.5</v>
      </c>
      <c r="D13" s="27">
        <v>11.24</v>
      </c>
      <c r="E13" s="27">
        <f>(D13-C13)/C13*100</f>
        <v>7.0476190476190501</v>
      </c>
    </row>
    <row r="14" spans="1:5" ht="45.75">
      <c r="A14" s="36" t="s">
        <v>172</v>
      </c>
      <c r="B14" s="35" t="s">
        <v>157</v>
      </c>
      <c r="C14" s="27">
        <v>1.42</v>
      </c>
      <c r="D14" s="27">
        <v>1.52</v>
      </c>
      <c r="E14" s="27">
        <f>(D14-C14)/C14*100</f>
        <v>7.0422535211267681</v>
      </c>
    </row>
    <row r="15" spans="1:5" ht="45.75">
      <c r="A15" s="36" t="s">
        <v>173</v>
      </c>
      <c r="B15" s="35" t="s">
        <v>157</v>
      </c>
      <c r="C15" s="27">
        <v>7.53</v>
      </c>
      <c r="D15" s="27">
        <v>8.06</v>
      </c>
      <c r="E15" s="27">
        <f>(D15-C15)/C15*100</f>
        <v>7.0385126162018627</v>
      </c>
    </row>
    <row r="16" spans="1:5">
      <c r="A16" s="36" t="s">
        <v>174</v>
      </c>
      <c r="B16" s="35" t="s">
        <v>157</v>
      </c>
      <c r="C16" s="27">
        <v>18.09</v>
      </c>
      <c r="D16" s="27">
        <v>19.36</v>
      </c>
      <c r="E16" s="27">
        <f>(D16-C16)/C16*100</f>
        <v>7.0204532891100024</v>
      </c>
    </row>
    <row r="17" spans="1:5">
      <c r="A17" s="36" t="s">
        <v>175</v>
      </c>
      <c r="B17" s="35" t="s">
        <v>176</v>
      </c>
      <c r="C17" s="27">
        <v>13.13</v>
      </c>
      <c r="D17" s="27">
        <v>14.05</v>
      </c>
      <c r="E17" s="27">
        <f>(D17-C17)/C17*100</f>
        <v>7.0068545316070052</v>
      </c>
    </row>
    <row r="18" spans="1:5">
      <c r="A18" s="36" t="s">
        <v>177</v>
      </c>
      <c r="B18" s="35" t="s">
        <v>157</v>
      </c>
      <c r="C18" s="27">
        <v>24.55</v>
      </c>
      <c r="D18" s="27">
        <v>26.27</v>
      </c>
      <c r="E18" s="27">
        <f>(D18-C18)/C18*100</f>
        <v>7.0061099796333961</v>
      </c>
    </row>
    <row r="19" spans="1:5" ht="30.75">
      <c r="A19" s="36" t="s">
        <v>178</v>
      </c>
      <c r="B19" s="35" t="s">
        <v>157</v>
      </c>
      <c r="C19" s="27">
        <v>18.559999999999999</v>
      </c>
      <c r="D19" s="27">
        <v>19.86</v>
      </c>
      <c r="E19" s="27">
        <f>(D19-C19)/C19*100</f>
        <v>7.0043103448275907</v>
      </c>
    </row>
    <row r="20" spans="1:5" ht="30.75">
      <c r="A20" s="36" t="s">
        <v>179</v>
      </c>
      <c r="B20" s="35" t="s">
        <v>164</v>
      </c>
      <c r="C20" s="27">
        <v>194.29</v>
      </c>
      <c r="D20" s="27">
        <v>207.89</v>
      </c>
      <c r="E20" s="27">
        <f>(D20-C20)/C20*100</f>
        <v>6.9998455916413587</v>
      </c>
    </row>
    <row r="21" spans="1:5">
      <c r="A21" s="36" t="s">
        <v>180</v>
      </c>
      <c r="B21" s="35" t="s">
        <v>164</v>
      </c>
      <c r="C21" s="27">
        <v>194.29</v>
      </c>
      <c r="D21" s="27">
        <v>207.89</v>
      </c>
      <c r="E21" s="27">
        <f>(D21-C21)/C21*100</f>
        <v>6.9998455916413587</v>
      </c>
    </row>
    <row r="22" spans="1:5">
      <c r="A22" s="36" t="s">
        <v>181</v>
      </c>
      <c r="B22" s="35" t="s">
        <v>167</v>
      </c>
      <c r="C22" s="27">
        <v>187.15</v>
      </c>
      <c r="D22" s="27">
        <v>200.25</v>
      </c>
      <c r="E22" s="27">
        <f>(D22-C22)/C22*100</f>
        <v>6.9997328346246297</v>
      </c>
    </row>
    <row r="23" spans="1:5" ht="30.75">
      <c r="A23" s="36" t="s">
        <v>182</v>
      </c>
      <c r="B23" s="35" t="s">
        <v>167</v>
      </c>
      <c r="C23" s="27">
        <v>163.63999999999999</v>
      </c>
      <c r="D23" s="27">
        <v>175.09</v>
      </c>
      <c r="E23" s="27">
        <f>(D23-C23)/C23*100</f>
        <v>6.9970667318504143</v>
      </c>
    </row>
    <row r="24" spans="1:5">
      <c r="A24" s="36" t="s">
        <v>183</v>
      </c>
      <c r="B24" s="35" t="s">
        <v>157</v>
      </c>
      <c r="C24" s="27">
        <v>32.49</v>
      </c>
      <c r="D24" s="27">
        <v>34.76</v>
      </c>
      <c r="E24" s="27">
        <f>(D24-C24)/C24*100</f>
        <v>6.9867651585102983</v>
      </c>
    </row>
    <row r="25" spans="1:5" ht="30.75">
      <c r="A25" s="36" t="s">
        <v>184</v>
      </c>
      <c r="B25" s="35" t="s">
        <v>157</v>
      </c>
      <c r="C25" s="27">
        <v>32.49</v>
      </c>
      <c r="D25" s="27">
        <v>34.76</v>
      </c>
      <c r="E25" s="27">
        <f>(D25-C25)/C25*100</f>
        <v>6.9867651585102983</v>
      </c>
    </row>
    <row r="26" spans="1:5">
      <c r="A26" s="36" t="s">
        <v>185</v>
      </c>
      <c r="B26" s="35" t="s">
        <v>157</v>
      </c>
      <c r="C26" s="27">
        <v>1.62</v>
      </c>
      <c r="D26" s="27">
        <v>1.73</v>
      </c>
      <c r="E26" s="27">
        <f>(D26-C26)/C26*100</f>
        <v>6.7901234567901145</v>
      </c>
    </row>
    <row r="27" spans="1:5">
      <c r="A27" s="36" t="s">
        <v>186</v>
      </c>
      <c r="B27" s="35" t="s">
        <v>157</v>
      </c>
      <c r="C27" s="27">
        <v>1.06</v>
      </c>
      <c r="D27" s="27">
        <v>1.1299999999999999</v>
      </c>
      <c r="E27" s="27">
        <f>(D27-C27)/C27*100</f>
        <v>6.6037735849056451</v>
      </c>
    </row>
    <row r="28" spans="1:5">
      <c r="A28" s="36" t="s">
        <v>187</v>
      </c>
      <c r="B28" s="35" t="s">
        <v>157</v>
      </c>
      <c r="C28" s="27">
        <v>0.77</v>
      </c>
      <c r="D28" s="27">
        <v>0.82</v>
      </c>
      <c r="E28" s="27">
        <f>(D28-C28)/C28*100</f>
        <v>6.4935064935064846</v>
      </c>
    </row>
    <row r="29" spans="1:5">
      <c r="A29" s="36" t="s">
        <v>188</v>
      </c>
      <c r="B29" s="35" t="s">
        <v>189</v>
      </c>
      <c r="C29" s="27">
        <v>1976.26</v>
      </c>
      <c r="D29" s="27">
        <v>2035.55</v>
      </c>
      <c r="E29" s="27">
        <f>(D29-C29)/C29*100</f>
        <v>3.000111321384836</v>
      </c>
    </row>
    <row r="30" spans="1:5">
      <c r="A30" s="36" t="s">
        <v>190</v>
      </c>
      <c r="B30" s="35" t="s">
        <v>189</v>
      </c>
      <c r="C30" s="27">
        <v>4079.56</v>
      </c>
      <c r="D30" s="27">
        <v>4201.95</v>
      </c>
      <c r="E30" s="27">
        <f>(D30-C30)/C30*100</f>
        <v>3.0000784398317433</v>
      </c>
    </row>
    <row r="31" spans="1:5">
      <c r="A31" s="36" t="s">
        <v>191</v>
      </c>
      <c r="B31" s="35" t="s">
        <v>189</v>
      </c>
      <c r="C31" s="27">
        <v>2532.04</v>
      </c>
      <c r="D31" s="27">
        <v>2608</v>
      </c>
      <c r="E31" s="27">
        <f>(D31-C31)/C31*100</f>
        <v>2.9999526073837712</v>
      </c>
    </row>
    <row r="32" spans="1:5">
      <c r="A32" s="36" t="s">
        <v>192</v>
      </c>
      <c r="B32" s="35" t="s">
        <v>164</v>
      </c>
      <c r="C32" s="27">
        <v>370.01</v>
      </c>
      <c r="D32" s="27">
        <v>381.11</v>
      </c>
      <c r="E32" s="27">
        <f>(D32-C32)/C32*100</f>
        <v>2.9999189211102464</v>
      </c>
    </row>
    <row r="33" spans="1:5">
      <c r="A33" s="36" t="s">
        <v>193</v>
      </c>
      <c r="B33" s="35" t="s">
        <v>189</v>
      </c>
      <c r="C33" s="27">
        <v>1563.12</v>
      </c>
      <c r="D33" s="27">
        <v>1610.01</v>
      </c>
      <c r="E33" s="27">
        <f>(D33-C33)/C33*100</f>
        <v>2.9997696913864647</v>
      </c>
    </row>
    <row r="34" spans="1:5">
      <c r="A34" s="36" t="s">
        <v>194</v>
      </c>
      <c r="B34" s="35" t="s">
        <v>189</v>
      </c>
      <c r="C34" s="27">
        <v>231.11</v>
      </c>
      <c r="D34" s="27">
        <v>238.04</v>
      </c>
      <c r="E34" s="27">
        <f>(D34-C34)/C34*100</f>
        <v>2.9985721085197428</v>
      </c>
    </row>
    <row r="35" spans="1:5" ht="30.75">
      <c r="A35" s="36" t="s">
        <v>195</v>
      </c>
      <c r="B35" s="35" t="s">
        <v>157</v>
      </c>
      <c r="C35" s="27">
        <v>0.5</v>
      </c>
      <c r="D35" s="27">
        <v>0.5</v>
      </c>
      <c r="E35" s="27">
        <f>(D35-C35)/C35*100</f>
        <v>0</v>
      </c>
    </row>
    <row r="36" spans="1:5">
      <c r="A36" s="36" t="s">
        <v>196</v>
      </c>
      <c r="B36" s="35" t="s">
        <v>157</v>
      </c>
      <c r="C36" s="27">
        <v>0.54</v>
      </c>
      <c r="D36" s="34">
        <v>0.5</v>
      </c>
      <c r="E36" s="27">
        <f>(D36-C36)/C36*100</f>
        <v>-7.4074074074074137</v>
      </c>
    </row>
    <row r="37" spans="1:5">
      <c r="A37" s="36" t="s">
        <v>197</v>
      </c>
      <c r="B37" s="35" t="s">
        <v>198</v>
      </c>
      <c r="C37" s="27">
        <v>31.95</v>
      </c>
      <c r="D37" s="27">
        <v>34.1</v>
      </c>
      <c r="E37" s="27">
        <f t="shared" ref="E37:E40" si="0">(D37-C37)/C37*100</f>
        <v>6.7292644757433555</v>
      </c>
    </row>
    <row r="38" spans="1:5">
      <c r="A38" s="36" t="s">
        <v>199</v>
      </c>
      <c r="B38" s="35" t="s">
        <v>198</v>
      </c>
      <c r="C38" s="27">
        <v>60.34</v>
      </c>
      <c r="D38" s="27">
        <v>64.56</v>
      </c>
      <c r="E38" s="27">
        <f t="shared" si="0"/>
        <v>6.9937023533311216</v>
      </c>
    </row>
    <row r="39" spans="1:5" ht="30.75">
      <c r="A39" s="36" t="s">
        <v>200</v>
      </c>
      <c r="B39" s="35" t="s">
        <v>201</v>
      </c>
      <c r="C39" s="27">
        <v>60.34</v>
      </c>
      <c r="D39" s="27">
        <v>64.56</v>
      </c>
      <c r="E39" s="27">
        <f t="shared" si="0"/>
        <v>6.9937023533311216</v>
      </c>
    </row>
    <row r="40" spans="1:5">
      <c r="A40" s="36" t="s">
        <v>202</v>
      </c>
      <c r="B40" s="35" t="s">
        <v>189</v>
      </c>
      <c r="C40" s="27">
        <v>513.42999999999995</v>
      </c>
      <c r="D40" s="27">
        <v>549.37</v>
      </c>
      <c r="E40" s="27">
        <f t="shared" si="0"/>
        <v>6.9999805231482499</v>
      </c>
    </row>
  </sheetData>
  <sortState xmlns:xlrd2="http://schemas.microsoft.com/office/spreadsheetml/2017/richdata2" ref="A2:E40">
    <sortCondition descending="1" ref="E2:E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DE06-82D0-4B1B-8984-5375C63928EC}">
  <dimension ref="A1:E117"/>
  <sheetViews>
    <sheetView workbookViewId="0">
      <selection activeCell="B1" sqref="B1"/>
    </sheetView>
  </sheetViews>
  <sheetFormatPr defaultRowHeight="15"/>
  <cols>
    <col min="1" max="2" width="36.5703125" bestFit="1" customWidth="1"/>
    <col min="3" max="4" width="36.5703125" style="27" bestFit="1" customWidth="1"/>
    <col min="5" max="5" width="9.42578125" style="27" bestFit="1" customWidth="1"/>
  </cols>
  <sheetData>
    <row r="1" spans="1:5" ht="30.75">
      <c r="A1" t="s">
        <v>203</v>
      </c>
      <c r="B1" s="6" t="s">
        <v>204</v>
      </c>
      <c r="C1" s="34" t="s">
        <v>205</v>
      </c>
      <c r="D1" s="32" t="s">
        <v>206</v>
      </c>
      <c r="E1" s="27" t="s">
        <v>207</v>
      </c>
    </row>
    <row r="2" spans="1:5">
      <c r="A2" t="s">
        <v>208</v>
      </c>
      <c r="B2" t="s">
        <v>209</v>
      </c>
      <c r="C2" s="27">
        <v>0.96</v>
      </c>
      <c r="D2" s="27">
        <v>1.02</v>
      </c>
      <c r="E2" s="27">
        <f>(D2-C2)/C2*100</f>
        <v>6.2500000000000053</v>
      </c>
    </row>
    <row r="3" spans="1:5">
      <c r="A3" t="s">
        <v>208</v>
      </c>
      <c r="B3" t="s">
        <v>210</v>
      </c>
      <c r="C3" s="27">
        <v>0.96</v>
      </c>
      <c r="D3" s="27">
        <v>1.02</v>
      </c>
      <c r="E3" s="27">
        <f t="shared" ref="E3:E66" si="0">(D3-C3)/C3*100</f>
        <v>6.2500000000000053</v>
      </c>
    </row>
    <row r="4" spans="1:5">
      <c r="A4" t="s">
        <v>208</v>
      </c>
      <c r="B4" t="s">
        <v>211</v>
      </c>
      <c r="C4" s="27">
        <v>0.96</v>
      </c>
      <c r="D4" s="27">
        <v>1.02</v>
      </c>
      <c r="E4" s="27">
        <f t="shared" si="0"/>
        <v>6.2500000000000053</v>
      </c>
    </row>
    <row r="5" spans="1:5">
      <c r="A5" t="s">
        <v>208</v>
      </c>
      <c r="B5" t="s">
        <v>212</v>
      </c>
      <c r="C5" s="27">
        <v>0.96</v>
      </c>
      <c r="D5" s="27">
        <v>1.02</v>
      </c>
      <c r="E5" s="27">
        <f t="shared" si="0"/>
        <v>6.2500000000000053</v>
      </c>
    </row>
    <row r="6" spans="1:5">
      <c r="A6" t="s">
        <v>208</v>
      </c>
      <c r="B6" t="s">
        <v>213</v>
      </c>
      <c r="C6" s="27">
        <v>0.96</v>
      </c>
      <c r="D6" s="27">
        <v>1.02</v>
      </c>
      <c r="E6" s="27">
        <f t="shared" si="0"/>
        <v>6.2500000000000053</v>
      </c>
    </row>
    <row r="7" spans="1:5">
      <c r="A7" t="s">
        <v>208</v>
      </c>
      <c r="B7" t="s">
        <v>214</v>
      </c>
      <c r="C7" s="27">
        <v>0.96</v>
      </c>
      <c r="D7" s="27">
        <v>1.02</v>
      </c>
      <c r="E7" s="27">
        <f t="shared" si="0"/>
        <v>6.2500000000000053</v>
      </c>
    </row>
    <row r="8" spans="1:5">
      <c r="A8" t="s">
        <v>208</v>
      </c>
      <c r="B8" t="s">
        <v>215</v>
      </c>
      <c r="C8" s="27">
        <v>0.96</v>
      </c>
      <c r="D8" s="27">
        <v>1.02</v>
      </c>
      <c r="E8" s="27">
        <f t="shared" si="0"/>
        <v>6.2500000000000053</v>
      </c>
    </row>
    <row r="9" spans="1:5">
      <c r="A9" t="s">
        <v>208</v>
      </c>
      <c r="B9" t="s">
        <v>216</v>
      </c>
      <c r="C9" s="27">
        <v>0.96</v>
      </c>
      <c r="D9" s="27">
        <v>1.02</v>
      </c>
      <c r="E9" s="27">
        <f t="shared" si="0"/>
        <v>6.2500000000000053</v>
      </c>
    </row>
    <row r="10" spans="1:5">
      <c r="A10" t="s">
        <v>208</v>
      </c>
      <c r="B10" t="s">
        <v>217</v>
      </c>
      <c r="C10" s="27">
        <v>0.96</v>
      </c>
      <c r="D10" s="27">
        <v>1.02</v>
      </c>
      <c r="E10" s="27">
        <f t="shared" si="0"/>
        <v>6.2500000000000053</v>
      </c>
    </row>
    <row r="11" spans="1:5">
      <c r="A11" t="s">
        <v>208</v>
      </c>
      <c r="B11" t="s">
        <v>218</v>
      </c>
      <c r="C11" s="27">
        <v>0.96</v>
      </c>
      <c r="D11" s="27">
        <v>1.02</v>
      </c>
      <c r="E11" s="27">
        <f t="shared" si="0"/>
        <v>6.2500000000000053</v>
      </c>
    </row>
    <row r="12" spans="1:5">
      <c r="A12" t="s">
        <v>208</v>
      </c>
      <c r="B12" t="s">
        <v>219</v>
      </c>
      <c r="C12" s="27">
        <v>0.96</v>
      </c>
      <c r="D12" s="27">
        <v>1.02</v>
      </c>
      <c r="E12" s="27">
        <f t="shared" si="0"/>
        <v>6.2500000000000053</v>
      </c>
    </row>
    <row r="13" spans="1:5">
      <c r="A13" t="s">
        <v>208</v>
      </c>
      <c r="B13" t="s">
        <v>220</v>
      </c>
      <c r="C13" s="27">
        <v>0.96</v>
      </c>
      <c r="D13" s="27">
        <v>1.02</v>
      </c>
      <c r="E13" s="27">
        <f t="shared" si="0"/>
        <v>6.2500000000000053</v>
      </c>
    </row>
    <row r="14" spans="1:5">
      <c r="A14" t="s">
        <v>208</v>
      </c>
      <c r="B14" t="s">
        <v>221</v>
      </c>
      <c r="C14" s="27">
        <v>0.96</v>
      </c>
      <c r="D14" s="27">
        <v>1.02</v>
      </c>
      <c r="E14" s="27">
        <f t="shared" si="0"/>
        <v>6.2500000000000053</v>
      </c>
    </row>
    <row r="15" spans="1:5">
      <c r="A15" t="s">
        <v>208</v>
      </c>
      <c r="B15" s="11" t="s">
        <v>222</v>
      </c>
      <c r="C15" s="27">
        <v>0.96</v>
      </c>
      <c r="D15" s="27">
        <v>1.02</v>
      </c>
      <c r="E15" s="27">
        <f t="shared" si="0"/>
        <v>6.2500000000000053</v>
      </c>
    </row>
    <row r="16" spans="1:5">
      <c r="A16" t="s">
        <v>208</v>
      </c>
      <c r="B16" t="s">
        <v>223</v>
      </c>
      <c r="C16" s="27">
        <v>0.96</v>
      </c>
      <c r="D16" s="27">
        <v>1.02</v>
      </c>
      <c r="E16" s="27">
        <f t="shared" si="0"/>
        <v>6.2500000000000053</v>
      </c>
    </row>
    <row r="17" spans="1:5">
      <c r="A17" t="s">
        <v>208</v>
      </c>
      <c r="B17" t="s">
        <v>224</v>
      </c>
      <c r="C17" s="27">
        <v>1.53</v>
      </c>
      <c r="D17" s="27">
        <v>1.63</v>
      </c>
      <c r="E17" s="27">
        <f t="shared" si="0"/>
        <v>6.5359477124182916</v>
      </c>
    </row>
    <row r="18" spans="1:5">
      <c r="A18" t="s">
        <v>208</v>
      </c>
      <c r="B18" t="s">
        <v>225</v>
      </c>
      <c r="C18" s="27">
        <v>1.96</v>
      </c>
      <c r="D18" s="27">
        <v>2.09</v>
      </c>
      <c r="E18" s="27">
        <f t="shared" si="0"/>
        <v>6.6326530612244845</v>
      </c>
    </row>
    <row r="19" spans="1:5">
      <c r="A19" t="s">
        <v>208</v>
      </c>
      <c r="B19" t="s">
        <v>226</v>
      </c>
      <c r="C19" s="27">
        <v>2.39</v>
      </c>
      <c r="D19" s="27">
        <v>2.5499999999999998</v>
      </c>
      <c r="E19" s="27">
        <f t="shared" si="0"/>
        <v>6.6945606694560542</v>
      </c>
    </row>
    <row r="20" spans="1:5">
      <c r="A20" t="s">
        <v>208</v>
      </c>
      <c r="B20" t="s">
        <v>227</v>
      </c>
      <c r="C20" s="27">
        <v>2.82</v>
      </c>
      <c r="D20" s="27">
        <v>3.01</v>
      </c>
      <c r="E20" s="27">
        <f t="shared" si="0"/>
        <v>6.7375886524822679</v>
      </c>
    </row>
    <row r="21" spans="1:5">
      <c r="A21" t="s">
        <v>208</v>
      </c>
      <c r="B21" t="s">
        <v>228</v>
      </c>
      <c r="C21" s="27">
        <v>3.26</v>
      </c>
      <c r="D21" s="27">
        <v>3.48</v>
      </c>
      <c r="E21" s="27">
        <f t="shared" si="0"/>
        <v>6.7484662576687189</v>
      </c>
    </row>
    <row r="22" spans="1:5">
      <c r="A22" t="s">
        <v>208</v>
      </c>
      <c r="B22" t="s">
        <v>229</v>
      </c>
      <c r="C22" s="27">
        <v>3.69</v>
      </c>
      <c r="D22" s="27">
        <v>3.94</v>
      </c>
      <c r="E22" s="27">
        <f t="shared" si="0"/>
        <v>6.7750677506775077</v>
      </c>
    </row>
    <row r="23" spans="1:5">
      <c r="A23" t="s">
        <v>208</v>
      </c>
      <c r="B23" t="s">
        <v>230</v>
      </c>
      <c r="C23" s="27">
        <v>4.12</v>
      </c>
      <c r="D23" s="27">
        <v>4.4000000000000004</v>
      </c>
      <c r="E23" s="27">
        <f t="shared" si="0"/>
        <v>6.7961165048543739</v>
      </c>
    </row>
    <row r="24" spans="1:5">
      <c r="A24" t="s">
        <v>208</v>
      </c>
      <c r="B24" t="str">
        <f>"Свыше " &amp; (ROW() + 3) &amp; " и до " &amp; (ROW() + 4) &amp; " (включительно)"</f>
        <v>Свыше 27 и до 28 (включительно)</v>
      </c>
      <c r="C24" s="27">
        <v>4.55</v>
      </c>
      <c r="D24" s="27">
        <v>4.8499999999999996</v>
      </c>
      <c r="E24" s="27">
        <f t="shared" si="0"/>
        <v>6.5934065934065895</v>
      </c>
    </row>
    <row r="25" spans="1:5">
      <c r="A25" t="s">
        <v>208</v>
      </c>
      <c r="B25" t="str">
        <f t="shared" ref="B25:B44" si="1">"Свыше " &amp; (ROW() + 3) &amp; " и до " &amp; (ROW() + 4) &amp; " (включительно)"</f>
        <v>Свыше 28 и до 29 (включительно)</v>
      </c>
      <c r="C25" s="27">
        <v>4.99</v>
      </c>
      <c r="D25" s="27">
        <v>5.32</v>
      </c>
      <c r="E25" s="27">
        <f t="shared" si="0"/>
        <v>6.6132264529058125</v>
      </c>
    </row>
    <row r="26" spans="1:5">
      <c r="A26" t="s">
        <v>208</v>
      </c>
      <c r="B26" t="str">
        <f t="shared" si="1"/>
        <v>Свыше 29 и до 30 (включительно)</v>
      </c>
      <c r="C26" s="27">
        <v>5.42</v>
      </c>
      <c r="D26" s="27">
        <v>5.78</v>
      </c>
      <c r="E26" s="27">
        <f t="shared" si="0"/>
        <v>6.6420664206642126</v>
      </c>
    </row>
    <row r="27" spans="1:5">
      <c r="A27" t="s">
        <v>208</v>
      </c>
      <c r="B27" t="str">
        <f t="shared" si="1"/>
        <v>Свыше 30 и до 31 (включительно)</v>
      </c>
      <c r="C27" s="27">
        <v>5.85</v>
      </c>
      <c r="D27" s="27">
        <v>6.24</v>
      </c>
      <c r="E27" s="27">
        <f t="shared" si="0"/>
        <v>6.6666666666666767</v>
      </c>
    </row>
    <row r="28" spans="1:5">
      <c r="A28" t="s">
        <v>208</v>
      </c>
      <c r="B28" t="str">
        <f t="shared" si="1"/>
        <v>Свыше 31 и до 32 (включительно)</v>
      </c>
      <c r="C28" s="27">
        <v>6.28</v>
      </c>
      <c r="D28" s="27">
        <v>6.7</v>
      </c>
      <c r="E28" s="27">
        <f t="shared" si="0"/>
        <v>6.6878980891719735</v>
      </c>
    </row>
    <row r="29" spans="1:5">
      <c r="A29" t="s">
        <v>208</v>
      </c>
      <c r="B29" t="str">
        <f t="shared" si="1"/>
        <v>Свыше 32 и до 33 (включительно)</v>
      </c>
      <c r="C29" s="27">
        <v>6.71</v>
      </c>
      <c r="D29" s="27">
        <v>7.16</v>
      </c>
      <c r="E29" s="27">
        <f t="shared" si="0"/>
        <v>6.7064083457526111</v>
      </c>
    </row>
    <row r="30" spans="1:5">
      <c r="A30" t="s">
        <v>208</v>
      </c>
      <c r="B30" t="str">
        <f t="shared" si="1"/>
        <v>Свыше 33 и до 34 (включительно)</v>
      </c>
      <c r="C30" s="27">
        <v>7.15</v>
      </c>
      <c r="D30" s="27">
        <v>7.63</v>
      </c>
      <c r="E30" s="27">
        <f t="shared" si="0"/>
        <v>6.7132867132867062</v>
      </c>
    </row>
    <row r="31" spans="1:5">
      <c r="A31" t="s">
        <v>208</v>
      </c>
      <c r="B31" t="str">
        <f>"Свыше " &amp; (ROW() + 3) &amp; " и до " &amp; (ROW() + 4) &amp; " (включительно)"</f>
        <v>Свыше 34 и до 35 (включительно)</v>
      </c>
      <c r="C31" s="27">
        <v>7.58</v>
      </c>
      <c r="D31" s="27">
        <v>8.09</v>
      </c>
      <c r="E31" s="27">
        <f t="shared" si="0"/>
        <v>6.7282321899736122</v>
      </c>
    </row>
    <row r="32" spans="1:5">
      <c r="A32" t="s">
        <v>208</v>
      </c>
      <c r="B32" t="str">
        <f t="shared" si="1"/>
        <v>Свыше 35 и до 36 (включительно)</v>
      </c>
      <c r="C32" s="27">
        <v>8.01</v>
      </c>
      <c r="D32" s="27">
        <v>8.5500000000000007</v>
      </c>
      <c r="E32" s="27">
        <f t="shared" si="0"/>
        <v>6.7415730337078772</v>
      </c>
    </row>
    <row r="33" spans="1:5">
      <c r="A33" t="s">
        <v>208</v>
      </c>
      <c r="B33" t="str">
        <f t="shared" si="1"/>
        <v>Свыше 36 и до 37 (включительно)</v>
      </c>
      <c r="C33" s="27">
        <v>8.44</v>
      </c>
      <c r="D33" s="27">
        <v>9.01</v>
      </c>
      <c r="E33" s="27">
        <f t="shared" si="0"/>
        <v>6.7535545023696715</v>
      </c>
    </row>
    <row r="34" spans="1:5">
      <c r="A34" t="s">
        <v>208</v>
      </c>
      <c r="B34" t="str">
        <f t="shared" si="1"/>
        <v>Свыше 37 и до 38 (включительно)</v>
      </c>
      <c r="C34" s="27">
        <v>8.8699999999999992</v>
      </c>
      <c r="D34" s="27">
        <v>9.4600000000000009</v>
      </c>
      <c r="E34" s="27">
        <f t="shared" si="0"/>
        <v>6.6516347237880691</v>
      </c>
    </row>
    <row r="35" spans="1:5">
      <c r="A35" t="s">
        <v>208</v>
      </c>
      <c r="B35" t="str">
        <f t="shared" si="1"/>
        <v>Свыше 38 и до 39 (включительно)</v>
      </c>
      <c r="C35" s="27">
        <v>9.31</v>
      </c>
      <c r="D35" s="27">
        <v>9.93</v>
      </c>
      <c r="E35" s="27">
        <f t="shared" si="0"/>
        <v>6.6595059076261993</v>
      </c>
    </row>
    <row r="36" spans="1:5">
      <c r="A36" t="s">
        <v>208</v>
      </c>
      <c r="B36" t="str">
        <f t="shared" si="1"/>
        <v>Свыше 39 и до 40 (включительно)</v>
      </c>
      <c r="C36" s="27">
        <v>9.74</v>
      </c>
      <c r="D36" s="27">
        <v>10.39</v>
      </c>
      <c r="E36" s="27">
        <f t="shared" si="0"/>
        <v>6.6735112936345002</v>
      </c>
    </row>
    <row r="37" spans="1:5">
      <c r="A37" t="s">
        <v>208</v>
      </c>
      <c r="B37" t="str">
        <f t="shared" si="1"/>
        <v>Свыше 40 и до 41 (включительно)</v>
      </c>
      <c r="C37" s="27">
        <v>10.17</v>
      </c>
      <c r="D37" s="27">
        <v>10.85</v>
      </c>
      <c r="E37" s="27">
        <f t="shared" si="0"/>
        <v>6.6863323500491605</v>
      </c>
    </row>
    <row r="38" spans="1:5">
      <c r="A38" t="s">
        <v>208</v>
      </c>
      <c r="B38" t="str">
        <f t="shared" si="1"/>
        <v>Свыше 41 и до 42 (включительно)</v>
      </c>
      <c r="C38" s="27">
        <v>10.6</v>
      </c>
      <c r="D38" s="27">
        <v>11.31</v>
      </c>
      <c r="E38" s="27">
        <f t="shared" si="0"/>
        <v>6.6981132075471779</v>
      </c>
    </row>
    <row r="39" spans="1:5">
      <c r="A39" t="s">
        <v>208</v>
      </c>
      <c r="B39" t="str">
        <f t="shared" si="1"/>
        <v>Свыше 42 и до 43 (включительно)</v>
      </c>
      <c r="C39" s="27">
        <v>11.04</v>
      </c>
      <c r="D39" s="27">
        <v>11.78</v>
      </c>
      <c r="E39" s="27">
        <f t="shared" si="0"/>
        <v>6.7028985507246395</v>
      </c>
    </row>
    <row r="40" spans="1:5">
      <c r="A40" t="s">
        <v>208</v>
      </c>
      <c r="B40" t="str">
        <f t="shared" si="1"/>
        <v>Свыше 43 и до 44 (включительно)</v>
      </c>
      <c r="C40" s="27">
        <v>11.47</v>
      </c>
      <c r="D40" s="27">
        <v>12.24</v>
      </c>
      <c r="E40" s="27">
        <f t="shared" si="0"/>
        <v>6.7131647776809018</v>
      </c>
    </row>
    <row r="41" spans="1:5">
      <c r="A41" t="s">
        <v>208</v>
      </c>
      <c r="B41" t="str">
        <f>"Свыше " &amp; (ROW() + 3) &amp; " и до " &amp; (ROW() + 4) &amp; " (включительно)"</f>
        <v>Свыше 44 и до 45 (включительно)</v>
      </c>
      <c r="C41" s="27">
        <v>11.9</v>
      </c>
      <c r="D41" s="27">
        <v>12.7</v>
      </c>
      <c r="E41" s="27">
        <f t="shared" si="0"/>
        <v>6.7226890756302433</v>
      </c>
    </row>
    <row r="42" spans="1:5">
      <c r="A42" t="s">
        <v>208</v>
      </c>
      <c r="B42" t="str">
        <f t="shared" si="1"/>
        <v>Свыше 45 и до 46 (включительно)</v>
      </c>
      <c r="C42" s="27">
        <v>12.33</v>
      </c>
      <c r="D42" s="27">
        <v>13.16</v>
      </c>
      <c r="E42" s="27">
        <f t="shared" si="0"/>
        <v>6.7315490673154912</v>
      </c>
    </row>
    <row r="43" spans="1:5">
      <c r="A43" t="s">
        <v>208</v>
      </c>
      <c r="B43" t="str">
        <f t="shared" si="1"/>
        <v>Свыше 46 и до 47 (включительно)</v>
      </c>
      <c r="C43" s="27">
        <v>12.76</v>
      </c>
      <c r="D43" s="27">
        <v>13.61</v>
      </c>
      <c r="E43" s="27">
        <f t="shared" si="0"/>
        <v>6.6614420062695894</v>
      </c>
    </row>
    <row r="44" spans="1:5">
      <c r="A44" t="s">
        <v>208</v>
      </c>
      <c r="B44" t="str">
        <f t="shared" si="1"/>
        <v>Свыше 47 и до 48 (включительно)</v>
      </c>
      <c r="C44" s="27">
        <v>13.2</v>
      </c>
      <c r="D44" s="27">
        <v>14.08</v>
      </c>
      <c r="E44" s="27">
        <f t="shared" si="0"/>
        <v>6.6666666666666732</v>
      </c>
    </row>
    <row r="45" spans="1:5">
      <c r="A45" t="s">
        <v>208</v>
      </c>
      <c r="B45" t="str">
        <f>"Свыше " &amp; (ROW() + 3) &amp; " и до " &amp; (ROW() + 4) &amp; " (включительно)"</f>
        <v>Свыше 48 и до 49 (включительно)</v>
      </c>
      <c r="C45" s="27">
        <v>13.63</v>
      </c>
      <c r="D45" s="27">
        <v>14.54</v>
      </c>
      <c r="E45" s="27">
        <f t="shared" si="0"/>
        <v>6.6764490095377713</v>
      </c>
    </row>
    <row r="46" spans="1:5">
      <c r="A46" t="s">
        <v>208</v>
      </c>
      <c r="B46" t="s">
        <v>231</v>
      </c>
      <c r="C46" s="27">
        <v>14.06</v>
      </c>
      <c r="D46" s="27">
        <v>15</v>
      </c>
      <c r="E46" s="27">
        <f t="shared" si="0"/>
        <v>6.6856330014224712</v>
      </c>
    </row>
    <row r="47" spans="1:5">
      <c r="A47" s="11" t="s">
        <v>232</v>
      </c>
      <c r="B47" s="11" t="s">
        <v>209</v>
      </c>
      <c r="C47" s="27">
        <v>0.06</v>
      </c>
      <c r="D47" s="27">
        <v>0.06</v>
      </c>
      <c r="E47" s="27">
        <f t="shared" si="0"/>
        <v>0</v>
      </c>
    </row>
    <row r="48" spans="1:5">
      <c r="A48" s="11" t="s">
        <v>232</v>
      </c>
      <c r="B48" s="11" t="s">
        <v>210</v>
      </c>
      <c r="C48" s="27">
        <v>0.14000000000000001</v>
      </c>
      <c r="D48" s="27">
        <v>0.15</v>
      </c>
      <c r="E48" s="27">
        <f t="shared" si="0"/>
        <v>7.1428571428571281</v>
      </c>
    </row>
    <row r="49" spans="1:5">
      <c r="A49" s="11" t="s">
        <v>232</v>
      </c>
      <c r="B49" t="str">
        <f>"Свыше " &amp; (ROW() - 42) &amp; " и до " &amp; (ROW() - 41) &amp; " (включительно)"</f>
        <v>Свыше 7 и до 8 (включительно)</v>
      </c>
      <c r="C49" s="27">
        <v>0.2</v>
      </c>
      <c r="D49" s="27">
        <v>0.21</v>
      </c>
      <c r="E49" s="27">
        <f t="shared" si="0"/>
        <v>4.9999999999999902</v>
      </c>
    </row>
    <row r="50" spans="1:5">
      <c r="A50" s="11" t="s">
        <v>232</v>
      </c>
      <c r="B50" t="str">
        <f t="shared" ref="B50:B71" si="2">"Свыше " &amp; (ROW() - 42) &amp; " и до " &amp; (ROW() - 41) &amp; " (включительно)"</f>
        <v>Свыше 8 и до 9 (включительно)</v>
      </c>
      <c r="C50" s="27">
        <v>0.28000000000000003</v>
      </c>
      <c r="D50" s="27">
        <v>0.3</v>
      </c>
      <c r="E50" s="27">
        <f t="shared" si="0"/>
        <v>7.1428571428571281</v>
      </c>
    </row>
    <row r="51" spans="1:5">
      <c r="A51" s="11" t="s">
        <v>232</v>
      </c>
      <c r="B51" t="str">
        <f t="shared" si="2"/>
        <v>Свыше 9 и до 10 (включительно)</v>
      </c>
      <c r="C51" s="27">
        <v>0.31</v>
      </c>
      <c r="D51" s="27">
        <v>0.33</v>
      </c>
      <c r="E51" s="27">
        <f t="shared" si="0"/>
        <v>6.4516129032258114</v>
      </c>
    </row>
    <row r="52" spans="1:5">
      <c r="A52" s="11" t="s">
        <v>232</v>
      </c>
      <c r="B52" t="str">
        <f t="shared" si="2"/>
        <v>Свыше 10 и до 11 (включительно)</v>
      </c>
      <c r="C52" s="27">
        <v>0.35</v>
      </c>
      <c r="D52" s="27">
        <v>0.37</v>
      </c>
      <c r="E52" s="27">
        <f t="shared" si="0"/>
        <v>5.7142857142857197</v>
      </c>
    </row>
    <row r="53" spans="1:5">
      <c r="A53" s="11" t="s">
        <v>232</v>
      </c>
      <c r="B53" t="str">
        <f t="shared" si="2"/>
        <v>Свыше 11 и до 12 (включительно)</v>
      </c>
      <c r="C53" s="27">
        <v>0.43</v>
      </c>
      <c r="D53" s="27">
        <v>0.46</v>
      </c>
      <c r="E53" s="27">
        <f t="shared" si="0"/>
        <v>6.9767441860465187</v>
      </c>
    </row>
    <row r="54" spans="1:5">
      <c r="A54" s="11" t="s">
        <v>232</v>
      </c>
      <c r="B54" t="str">
        <f t="shared" si="2"/>
        <v>Свыше 12 и до 13 (включительно)</v>
      </c>
      <c r="C54" s="27">
        <v>0.51</v>
      </c>
      <c r="D54" s="27">
        <v>0.54</v>
      </c>
      <c r="E54" s="27">
        <f t="shared" si="0"/>
        <v>5.8823529411764754</v>
      </c>
    </row>
    <row r="55" spans="1:5">
      <c r="A55" s="11" t="s">
        <v>232</v>
      </c>
      <c r="B55" t="str">
        <f t="shared" si="2"/>
        <v>Свыше 13 и до 14 (включительно)</v>
      </c>
      <c r="C55" s="27">
        <v>0.55000000000000004</v>
      </c>
      <c r="D55" s="27">
        <v>0.59</v>
      </c>
      <c r="E55" s="27">
        <f t="shared" si="0"/>
        <v>7.2727272727272583</v>
      </c>
    </row>
    <row r="56" spans="1:5">
      <c r="A56" s="11" t="s">
        <v>232</v>
      </c>
      <c r="B56" t="str">
        <f t="shared" si="2"/>
        <v>Свыше 14 и до 15 (включительно)</v>
      </c>
      <c r="C56" s="27">
        <v>0.6</v>
      </c>
      <c r="D56" s="27">
        <v>0.64</v>
      </c>
      <c r="E56" s="27">
        <f t="shared" si="0"/>
        <v>6.6666666666666732</v>
      </c>
    </row>
    <row r="57" spans="1:5">
      <c r="A57" s="11" t="s">
        <v>232</v>
      </c>
      <c r="B57" t="str">
        <f t="shared" si="2"/>
        <v>Свыше 15 и до 16 (включительно)</v>
      </c>
      <c r="C57" s="27">
        <v>0.64</v>
      </c>
      <c r="D57" s="27">
        <v>0.68</v>
      </c>
      <c r="E57" s="27">
        <f t="shared" si="0"/>
        <v>6.2500000000000053</v>
      </c>
    </row>
    <row r="58" spans="1:5">
      <c r="A58" s="11" t="s">
        <v>232</v>
      </c>
      <c r="B58" t="str">
        <f t="shared" si="2"/>
        <v>Свыше 16 и до 17 (включительно)</v>
      </c>
      <c r="C58" s="27">
        <v>0.72</v>
      </c>
      <c r="D58" s="27">
        <v>0.77</v>
      </c>
      <c r="E58" s="27">
        <f t="shared" si="0"/>
        <v>6.94444444444445</v>
      </c>
    </row>
    <row r="59" spans="1:5">
      <c r="A59" s="11" t="s">
        <v>232</v>
      </c>
      <c r="B59" t="str">
        <f t="shared" si="2"/>
        <v>Свыше 17 и до 18 (включительно)</v>
      </c>
      <c r="C59" s="27">
        <v>0.77</v>
      </c>
      <c r="D59" s="27">
        <v>0.82</v>
      </c>
      <c r="E59" s="27">
        <f t="shared" si="0"/>
        <v>6.4935064935064846</v>
      </c>
    </row>
    <row r="60" spans="1:5">
      <c r="A60" s="11" t="s">
        <v>232</v>
      </c>
      <c r="B60" t="str">
        <f t="shared" si="2"/>
        <v>Свыше 18 и до 19 (включительно)</v>
      </c>
      <c r="C60" s="27">
        <v>0.84</v>
      </c>
      <c r="D60" s="27">
        <v>0.9</v>
      </c>
      <c r="E60" s="27">
        <f t="shared" si="0"/>
        <v>7.1428571428571495</v>
      </c>
    </row>
    <row r="61" spans="1:5">
      <c r="A61" s="11" t="s">
        <v>232</v>
      </c>
      <c r="B61" t="str">
        <f t="shared" si="2"/>
        <v>Свыше 19 и до 20 (включительно)</v>
      </c>
      <c r="C61" s="27">
        <v>0.92</v>
      </c>
      <c r="D61" s="27">
        <v>0.98</v>
      </c>
      <c r="E61" s="27">
        <f t="shared" si="0"/>
        <v>6.5217391304347752</v>
      </c>
    </row>
    <row r="62" spans="1:5">
      <c r="A62" s="11" t="s">
        <v>232</v>
      </c>
      <c r="B62" t="str">
        <f t="shared" si="2"/>
        <v>Свыше 20 и до 21 (включительно)</v>
      </c>
      <c r="C62" s="27">
        <v>0.95</v>
      </c>
      <c r="D62" s="27">
        <v>1.01</v>
      </c>
      <c r="E62" s="27">
        <f t="shared" si="0"/>
        <v>6.3157894736842159</v>
      </c>
    </row>
    <row r="63" spans="1:5">
      <c r="A63" s="11" t="s">
        <v>232</v>
      </c>
      <c r="B63" t="str">
        <f t="shared" si="2"/>
        <v>Свыше 21 и до 22 (включительно)</v>
      </c>
      <c r="C63" s="27">
        <v>1</v>
      </c>
      <c r="D63" s="27">
        <v>1.07</v>
      </c>
      <c r="E63" s="27">
        <f t="shared" si="0"/>
        <v>7.0000000000000062</v>
      </c>
    </row>
    <row r="64" spans="1:5">
      <c r="A64" s="11" t="s">
        <v>232</v>
      </c>
      <c r="B64" t="str">
        <f t="shared" si="2"/>
        <v>Свыше 22 и до 23 (включительно)</v>
      </c>
      <c r="C64" s="27">
        <v>1.06</v>
      </c>
      <c r="D64" s="27">
        <v>1.1299999999999999</v>
      </c>
      <c r="E64" s="27">
        <f t="shared" si="0"/>
        <v>6.6037735849056451</v>
      </c>
    </row>
    <row r="65" spans="1:5">
      <c r="A65" s="11" t="s">
        <v>232</v>
      </c>
      <c r="B65" t="str">
        <f t="shared" si="2"/>
        <v>Свыше 23 и до 24 (включительно)</v>
      </c>
      <c r="C65" s="27">
        <v>1.1499999999999999</v>
      </c>
      <c r="D65" s="27">
        <v>1.23</v>
      </c>
      <c r="E65" s="27">
        <f t="shared" si="0"/>
        <v>6.9565217391304417</v>
      </c>
    </row>
    <row r="66" spans="1:5">
      <c r="A66" s="11" t="s">
        <v>232</v>
      </c>
      <c r="B66" t="str">
        <f t="shared" si="2"/>
        <v>Свыше 24 и до 25 (включительно)</v>
      </c>
      <c r="C66" s="27">
        <v>1.19</v>
      </c>
      <c r="D66" s="27">
        <v>1.27</v>
      </c>
      <c r="E66" s="27">
        <f t="shared" si="0"/>
        <v>6.7226890756302584</v>
      </c>
    </row>
    <row r="67" spans="1:5">
      <c r="A67" s="11" t="s">
        <v>232</v>
      </c>
      <c r="B67" t="str">
        <f t="shared" si="2"/>
        <v>Свыше 25 и до 26 (включительно)</v>
      </c>
      <c r="C67" s="27">
        <v>1.25</v>
      </c>
      <c r="D67" s="27">
        <v>1.33</v>
      </c>
      <c r="E67" s="27">
        <f t="shared" ref="E67:E117" si="3">(D67-C67)/C67*100</f>
        <v>6.4000000000000057</v>
      </c>
    </row>
    <row r="68" spans="1:5">
      <c r="A68" s="11" t="s">
        <v>232</v>
      </c>
      <c r="B68" t="str">
        <f t="shared" si="2"/>
        <v>Свыше 26 и до 27 (включительно)</v>
      </c>
      <c r="C68" s="27">
        <v>1.31</v>
      </c>
      <c r="D68" s="27">
        <v>1.4</v>
      </c>
      <c r="E68" s="27">
        <f t="shared" si="3"/>
        <v>6.8702290076335775</v>
      </c>
    </row>
    <row r="69" spans="1:5">
      <c r="A69" s="11" t="s">
        <v>232</v>
      </c>
      <c r="B69" t="str">
        <f>"Свыше " &amp; (ROW() - 42) &amp; " и до " &amp; (ROW() - 41) &amp; " (включительно)"</f>
        <v>Свыше 27 и до 28 (включительно)</v>
      </c>
      <c r="C69" s="27">
        <v>1.34</v>
      </c>
      <c r="D69" s="27">
        <v>1.43</v>
      </c>
      <c r="E69" s="27">
        <f t="shared" si="3"/>
        <v>6.7164179104477499</v>
      </c>
    </row>
    <row r="70" spans="1:5">
      <c r="A70" s="11" t="s">
        <v>232</v>
      </c>
      <c r="B70" t="str">
        <f t="shared" si="2"/>
        <v>Свыше 28 и до 29 (включительно)</v>
      </c>
      <c r="C70" s="27">
        <v>1.4</v>
      </c>
      <c r="D70" s="27">
        <v>1.49</v>
      </c>
      <c r="E70" s="27">
        <f t="shared" si="3"/>
        <v>6.428571428571435</v>
      </c>
    </row>
    <row r="71" spans="1:5">
      <c r="A71" s="11" t="s">
        <v>232</v>
      </c>
      <c r="B71" t="str">
        <f t="shared" si="2"/>
        <v>Свыше 29 и до 30 (включительно)</v>
      </c>
      <c r="C71" s="27">
        <v>1.48</v>
      </c>
      <c r="D71" s="27">
        <v>1.58</v>
      </c>
      <c r="E71" s="27">
        <f t="shared" si="3"/>
        <v>6.7567567567567623</v>
      </c>
    </row>
    <row r="72" spans="1:5">
      <c r="A72" s="11" t="s">
        <v>232</v>
      </c>
      <c r="B72" t="str">
        <f>"Свыше " &amp; (ROW() - 42) &amp; " и до " &amp; (ROW() - 41) &amp; " (включительно)"</f>
        <v>Свыше 30 и до 31 (включительно)</v>
      </c>
      <c r="C72" s="27">
        <v>1.54</v>
      </c>
      <c r="D72" s="27">
        <v>1.64</v>
      </c>
      <c r="E72" s="27">
        <f t="shared" si="3"/>
        <v>6.4935064935064846</v>
      </c>
    </row>
    <row r="73" spans="1:5" ht="30.75">
      <c r="A73" s="6" t="s">
        <v>233</v>
      </c>
      <c r="B73" s="11" t="s">
        <v>209</v>
      </c>
      <c r="C73" s="27">
        <v>1.53</v>
      </c>
      <c r="D73" s="27">
        <v>1.63</v>
      </c>
      <c r="E73" s="27">
        <f t="shared" si="3"/>
        <v>6.5359477124182916</v>
      </c>
    </row>
    <row r="74" spans="1:5" ht="30.75">
      <c r="A74" s="6" t="s">
        <v>233</v>
      </c>
      <c r="B74" s="11" t="s">
        <v>210</v>
      </c>
      <c r="C74" s="27">
        <v>1.53</v>
      </c>
      <c r="D74" s="27">
        <v>1.63</v>
      </c>
      <c r="E74" s="27">
        <f t="shared" si="3"/>
        <v>6.5359477124182916</v>
      </c>
    </row>
    <row r="75" spans="1:5" ht="30.75">
      <c r="A75" s="6" t="s">
        <v>233</v>
      </c>
      <c r="B75" t="str">
        <f>"Свыше " &amp; (ROW() - 68) &amp; " и до " &amp; (ROW() - 67) &amp; " (включительно)"</f>
        <v>Свыше 7 и до 8 (включительно)</v>
      </c>
      <c r="C75" s="27">
        <v>1.53</v>
      </c>
      <c r="D75" s="27">
        <v>1.63</v>
      </c>
      <c r="E75" s="27">
        <f t="shared" si="3"/>
        <v>6.5359477124182916</v>
      </c>
    </row>
    <row r="76" spans="1:5" ht="30.75">
      <c r="A76" s="6" t="s">
        <v>233</v>
      </c>
      <c r="B76" t="str">
        <f t="shared" ref="B76:B116" si="4">"Свыше " &amp; (ROW() - 68) &amp; " и до " &amp; (ROW() - 67) &amp; " (включительно)"</f>
        <v>Свыше 8 и до 9 (включительно)</v>
      </c>
      <c r="C76" s="27">
        <v>1.53</v>
      </c>
      <c r="D76" s="27">
        <v>1.63</v>
      </c>
      <c r="E76" s="27">
        <f t="shared" si="3"/>
        <v>6.5359477124182916</v>
      </c>
    </row>
    <row r="77" spans="1:5" ht="30.75">
      <c r="A77" s="6" t="s">
        <v>233</v>
      </c>
      <c r="B77" t="str">
        <f t="shared" si="4"/>
        <v>Свыше 9 и до 10 (включительно)</v>
      </c>
      <c r="C77" s="27">
        <v>1.53</v>
      </c>
      <c r="D77" s="27">
        <v>1.63</v>
      </c>
      <c r="E77" s="27">
        <f t="shared" si="3"/>
        <v>6.5359477124182916</v>
      </c>
    </row>
    <row r="78" spans="1:5" ht="30.75">
      <c r="A78" s="6" t="s">
        <v>233</v>
      </c>
      <c r="B78" t="str">
        <f t="shared" si="4"/>
        <v>Свыше 10 и до 11 (включительно)</v>
      </c>
      <c r="C78" s="27">
        <v>1.53</v>
      </c>
      <c r="D78" s="27">
        <v>1.63</v>
      </c>
      <c r="E78" s="27">
        <f t="shared" si="3"/>
        <v>6.5359477124182916</v>
      </c>
    </row>
    <row r="79" spans="1:5" ht="30.75">
      <c r="A79" s="6" t="s">
        <v>233</v>
      </c>
      <c r="B79" t="str">
        <f t="shared" si="4"/>
        <v>Свыше 11 и до 12 (включительно)</v>
      </c>
      <c r="C79" s="27">
        <v>1.53</v>
      </c>
      <c r="D79" s="27">
        <v>1.63</v>
      </c>
      <c r="E79" s="27">
        <f t="shared" si="3"/>
        <v>6.5359477124182916</v>
      </c>
    </row>
    <row r="80" spans="1:5" ht="30.75">
      <c r="A80" s="6" t="s">
        <v>233</v>
      </c>
      <c r="B80" t="str">
        <f t="shared" si="4"/>
        <v>Свыше 12 и до 13 (включительно)</v>
      </c>
      <c r="C80" s="27">
        <v>1.54</v>
      </c>
      <c r="D80" s="27">
        <v>1.64</v>
      </c>
      <c r="E80" s="27">
        <f t="shared" si="3"/>
        <v>6.4935064935064846</v>
      </c>
    </row>
    <row r="81" spans="1:5" ht="30.75">
      <c r="A81" s="6" t="s">
        <v>233</v>
      </c>
      <c r="B81" t="str">
        <f t="shared" si="4"/>
        <v>Свыше 13 и до 14 (включительно)</v>
      </c>
      <c r="C81" s="27">
        <v>1.54</v>
      </c>
      <c r="D81" s="27">
        <v>1.64</v>
      </c>
      <c r="E81" s="27">
        <f t="shared" si="3"/>
        <v>6.4935064935064846</v>
      </c>
    </row>
    <row r="82" spans="1:5" ht="30.75">
      <c r="A82" s="6" t="s">
        <v>233</v>
      </c>
      <c r="B82" t="str">
        <f t="shared" si="4"/>
        <v>Свыше 14 и до 15 (включительно)</v>
      </c>
      <c r="C82" s="27">
        <v>1.54</v>
      </c>
      <c r="D82" s="27">
        <v>1.64</v>
      </c>
      <c r="E82" s="27">
        <f t="shared" si="3"/>
        <v>6.4935064935064846</v>
      </c>
    </row>
    <row r="83" spans="1:5" ht="30.75">
      <c r="A83" s="6" t="s">
        <v>233</v>
      </c>
      <c r="B83" t="str">
        <f t="shared" si="4"/>
        <v>Свыше 15 и до 16 (включительно)</v>
      </c>
      <c r="C83" s="27">
        <v>1.54</v>
      </c>
      <c r="D83" s="27">
        <v>1.64</v>
      </c>
      <c r="E83" s="27">
        <f t="shared" si="3"/>
        <v>6.4935064935064846</v>
      </c>
    </row>
    <row r="84" spans="1:5" ht="30.75">
      <c r="A84" s="6" t="s">
        <v>233</v>
      </c>
      <c r="B84" t="str">
        <f t="shared" si="4"/>
        <v>Свыше 16 и до 17 (включительно)</v>
      </c>
      <c r="C84" s="27">
        <v>1.54</v>
      </c>
      <c r="D84" s="27">
        <v>1.64</v>
      </c>
      <c r="E84" s="27">
        <f t="shared" si="3"/>
        <v>6.4935064935064846</v>
      </c>
    </row>
    <row r="85" spans="1:5" ht="30.75">
      <c r="A85" s="6" t="s">
        <v>233</v>
      </c>
      <c r="B85" t="str">
        <f t="shared" si="4"/>
        <v>Свыше 17 и до 18 (включительно)</v>
      </c>
      <c r="C85" s="27">
        <v>1.54</v>
      </c>
      <c r="D85" s="27">
        <v>1.64</v>
      </c>
      <c r="E85" s="27">
        <f t="shared" si="3"/>
        <v>6.4935064935064846</v>
      </c>
    </row>
    <row r="86" spans="1:5" ht="30.75">
      <c r="A86" s="6" t="s">
        <v>233</v>
      </c>
      <c r="B86" t="str">
        <f t="shared" si="4"/>
        <v>Свыше 18 и до 19 (включительно)</v>
      </c>
      <c r="C86" s="27">
        <v>1.54</v>
      </c>
      <c r="D86" s="27">
        <v>1.64</v>
      </c>
      <c r="E86" s="27">
        <f t="shared" si="3"/>
        <v>6.4935064935064846</v>
      </c>
    </row>
    <row r="87" spans="1:5" ht="30.75">
      <c r="A87" s="6" t="s">
        <v>233</v>
      </c>
      <c r="B87" t="str">
        <f t="shared" si="4"/>
        <v>Свыше 19 и до 20 (включительно)</v>
      </c>
      <c r="C87" s="27">
        <v>1.54</v>
      </c>
      <c r="D87" s="27">
        <v>1.64</v>
      </c>
      <c r="E87" s="27">
        <f t="shared" si="3"/>
        <v>6.4935064935064846</v>
      </c>
    </row>
    <row r="88" spans="1:5" ht="30.75">
      <c r="A88" s="6" t="s">
        <v>233</v>
      </c>
      <c r="B88" t="str">
        <f t="shared" si="4"/>
        <v>Свыше 20 и до 21 (включительно)</v>
      </c>
      <c r="C88" s="29">
        <v>1.88</v>
      </c>
      <c r="D88" s="27">
        <v>2.0099999999999998</v>
      </c>
      <c r="E88" s="27">
        <f t="shared" si="3"/>
        <v>6.9148936170212716</v>
      </c>
    </row>
    <row r="89" spans="1:5" ht="30.75">
      <c r="A89" s="6" t="s">
        <v>233</v>
      </c>
      <c r="B89" t="str">
        <f t="shared" si="4"/>
        <v>Свыше 21 и до 22 (включительно)</v>
      </c>
      <c r="C89" s="29">
        <v>2.52</v>
      </c>
      <c r="D89" s="27">
        <v>2.69</v>
      </c>
      <c r="E89" s="27">
        <f t="shared" si="3"/>
        <v>6.7460317460317425</v>
      </c>
    </row>
    <row r="90" spans="1:5" ht="30.75">
      <c r="A90" s="6" t="s">
        <v>233</v>
      </c>
      <c r="B90" t="str">
        <f t="shared" si="4"/>
        <v>Свыше 22 и до 23 (включительно)</v>
      </c>
      <c r="C90" s="29">
        <v>3.16</v>
      </c>
      <c r="D90" s="27">
        <v>3.37</v>
      </c>
      <c r="E90" s="27">
        <f t="shared" si="3"/>
        <v>6.6455696202531627</v>
      </c>
    </row>
    <row r="91" spans="1:5" ht="30.75">
      <c r="A91" s="6" t="s">
        <v>233</v>
      </c>
      <c r="B91" t="str">
        <f t="shared" si="4"/>
        <v>Свыше 23 и до 24 (включительно)</v>
      </c>
      <c r="C91" s="29">
        <v>3.8</v>
      </c>
      <c r="D91" s="29">
        <v>4.05</v>
      </c>
      <c r="E91" s="27">
        <f t="shared" si="3"/>
        <v>6.5789473684210522</v>
      </c>
    </row>
    <row r="92" spans="1:5" ht="30.75">
      <c r="A92" s="6" t="s">
        <v>233</v>
      </c>
      <c r="B92" t="str">
        <f t="shared" si="4"/>
        <v>Свыше 24 и до 25 (включительно)</v>
      </c>
      <c r="C92" s="29">
        <v>4.45</v>
      </c>
      <c r="D92" s="33">
        <v>4.75</v>
      </c>
      <c r="E92" s="27">
        <f t="shared" si="3"/>
        <v>6.7415730337078612</v>
      </c>
    </row>
    <row r="93" spans="1:5" ht="30.75">
      <c r="A93" s="6" t="s">
        <v>233</v>
      </c>
      <c r="B93" t="str">
        <f t="shared" si="4"/>
        <v>Свыше 25 и до 26 (включительно)</v>
      </c>
      <c r="C93" s="27">
        <v>5.09</v>
      </c>
      <c r="D93" s="27">
        <v>5.43</v>
      </c>
      <c r="E93" s="27">
        <f t="shared" si="3"/>
        <v>6.6797642436149287</v>
      </c>
    </row>
    <row r="94" spans="1:5" ht="30.75">
      <c r="A94" s="6" t="s">
        <v>233</v>
      </c>
      <c r="B94" t="str">
        <f t="shared" si="4"/>
        <v>Свыше 26 и до 27 (включительно)</v>
      </c>
      <c r="C94" s="27">
        <v>5.73</v>
      </c>
      <c r="D94" s="27">
        <v>6.11</v>
      </c>
      <c r="E94" s="27">
        <f t="shared" si="3"/>
        <v>6.631762652705059</v>
      </c>
    </row>
    <row r="95" spans="1:5" ht="30.75">
      <c r="A95" s="6" t="s">
        <v>233</v>
      </c>
      <c r="B95" t="str">
        <f t="shared" si="4"/>
        <v>Свыше 27 и до 28 (включительно)</v>
      </c>
      <c r="C95" s="27">
        <v>6.38</v>
      </c>
      <c r="D95" s="27">
        <v>6.81</v>
      </c>
      <c r="E95" s="27">
        <f t="shared" si="3"/>
        <v>6.7398119122257016</v>
      </c>
    </row>
    <row r="96" spans="1:5" ht="30.75">
      <c r="A96" s="6" t="s">
        <v>233</v>
      </c>
      <c r="B96" t="str">
        <f t="shared" si="4"/>
        <v>Свыше 28 и до 29 (включительно)</v>
      </c>
      <c r="C96" s="27">
        <v>7.02</v>
      </c>
      <c r="D96" s="27">
        <v>7.49</v>
      </c>
      <c r="E96" s="27">
        <f t="shared" si="3"/>
        <v>6.6951566951567054</v>
      </c>
    </row>
    <row r="97" spans="1:5" ht="30.75">
      <c r="A97" s="6" t="s">
        <v>233</v>
      </c>
      <c r="B97" t="str">
        <f t="shared" si="4"/>
        <v>Свыше 29 и до 30 (включительно)</v>
      </c>
      <c r="C97" s="27">
        <v>7.66</v>
      </c>
      <c r="D97" s="27">
        <v>8.17</v>
      </c>
      <c r="E97" s="27">
        <f t="shared" si="3"/>
        <v>6.6579634464751933</v>
      </c>
    </row>
    <row r="98" spans="1:5" ht="30.75">
      <c r="A98" s="6" t="s">
        <v>233</v>
      </c>
      <c r="B98" t="str">
        <f t="shared" si="4"/>
        <v>Свыше 30 и до 31 (включительно)</v>
      </c>
      <c r="C98" s="27">
        <v>8.31</v>
      </c>
      <c r="D98" s="27">
        <v>8.8699999999999992</v>
      </c>
      <c r="E98" s="27">
        <f t="shared" si="3"/>
        <v>6.7388688327316331</v>
      </c>
    </row>
    <row r="99" spans="1:5" ht="30.75">
      <c r="A99" s="6" t="s">
        <v>233</v>
      </c>
      <c r="B99" t="str">
        <f t="shared" si="4"/>
        <v>Свыше 31 и до 32 (включительно)</v>
      </c>
      <c r="C99" s="27">
        <v>8.9499999999999993</v>
      </c>
      <c r="D99" s="27">
        <v>9.5500000000000007</v>
      </c>
      <c r="E99" s="27">
        <f t="shared" si="3"/>
        <v>6.7039106145251566</v>
      </c>
    </row>
    <row r="100" spans="1:5" ht="30.75">
      <c r="A100" s="6" t="s">
        <v>233</v>
      </c>
      <c r="B100" t="str">
        <f t="shared" si="4"/>
        <v>Свыше 32 и до 33 (включительно)</v>
      </c>
      <c r="C100" s="27">
        <v>9.59</v>
      </c>
      <c r="D100" s="27">
        <v>10.23</v>
      </c>
      <c r="E100" s="27">
        <f t="shared" si="3"/>
        <v>6.6736183524504753</v>
      </c>
    </row>
    <row r="101" spans="1:5" ht="30.75">
      <c r="A101" s="6" t="s">
        <v>233</v>
      </c>
      <c r="B101" t="str">
        <f t="shared" si="4"/>
        <v>Свыше 33 и до 34 (включительно)</v>
      </c>
      <c r="C101" s="27">
        <v>10.23</v>
      </c>
      <c r="D101" s="27">
        <v>10.92</v>
      </c>
      <c r="E101" s="27">
        <f t="shared" si="3"/>
        <v>6.7448680351906116</v>
      </c>
    </row>
    <row r="102" spans="1:5" ht="30.75">
      <c r="A102" s="6" t="s">
        <v>233</v>
      </c>
      <c r="B102" t="str">
        <f t="shared" si="4"/>
        <v>Свыше 34 и до 35 (включительно)</v>
      </c>
      <c r="C102" s="27">
        <v>10.88</v>
      </c>
      <c r="D102" s="27">
        <v>11.61</v>
      </c>
      <c r="E102" s="27">
        <f t="shared" si="3"/>
        <v>6.7095588235293988</v>
      </c>
    </row>
    <row r="103" spans="1:5" ht="30.75">
      <c r="A103" s="6" t="s">
        <v>233</v>
      </c>
      <c r="B103" t="str">
        <f t="shared" si="4"/>
        <v>Свыше 35 и до 36 (включительно)</v>
      </c>
      <c r="C103" s="27">
        <v>11.52</v>
      </c>
      <c r="D103" s="27">
        <v>12.29</v>
      </c>
      <c r="E103" s="27">
        <f t="shared" si="3"/>
        <v>6.684027777777775</v>
      </c>
    </row>
    <row r="104" spans="1:5" ht="30.75">
      <c r="A104" s="6" t="s">
        <v>233</v>
      </c>
      <c r="B104" t="str">
        <f t="shared" si="4"/>
        <v>Свыше 36 и до 37 (включительно)</v>
      </c>
      <c r="C104" s="27">
        <v>12.16</v>
      </c>
      <c r="D104" s="27">
        <v>12.97</v>
      </c>
      <c r="E104" s="27">
        <f t="shared" si="3"/>
        <v>6.6611842105263195</v>
      </c>
    </row>
    <row r="105" spans="1:5" ht="30.75">
      <c r="A105" s="6" t="s">
        <v>233</v>
      </c>
      <c r="B105" t="str">
        <f t="shared" si="4"/>
        <v>Свыше 37 и до 38 (включительно)</v>
      </c>
      <c r="C105" s="27">
        <v>12.81</v>
      </c>
      <c r="D105" s="27">
        <v>13.67</v>
      </c>
      <c r="E105" s="27">
        <f t="shared" si="3"/>
        <v>6.7135050741608069</v>
      </c>
    </row>
    <row r="106" spans="1:5" ht="30.75">
      <c r="A106" s="6" t="s">
        <v>233</v>
      </c>
      <c r="B106" t="str">
        <f t="shared" si="4"/>
        <v>Свыше 38 и до 39 (включительно)</v>
      </c>
      <c r="C106" s="27">
        <v>13.45</v>
      </c>
      <c r="D106" s="27">
        <v>14.35</v>
      </c>
      <c r="E106" s="27">
        <f t="shared" si="3"/>
        <v>6.6914498141263978</v>
      </c>
    </row>
    <row r="107" spans="1:5" ht="30.75">
      <c r="A107" s="6" t="s">
        <v>233</v>
      </c>
      <c r="B107" t="str">
        <f t="shared" si="4"/>
        <v>Свыше 39 и до 40 (включительно)</v>
      </c>
      <c r="C107" s="27">
        <v>14.09</v>
      </c>
      <c r="D107" s="27">
        <v>15.03</v>
      </c>
      <c r="E107" s="27">
        <f t="shared" si="3"/>
        <v>6.6713981547196557</v>
      </c>
    </row>
    <row r="108" spans="1:5" ht="30.75">
      <c r="A108" s="6" t="s">
        <v>233</v>
      </c>
      <c r="B108" t="str">
        <f t="shared" si="4"/>
        <v>Свыше 40 и до 41 (включительно)</v>
      </c>
      <c r="C108" s="27">
        <v>14.73</v>
      </c>
      <c r="D108" s="27">
        <v>15.72</v>
      </c>
      <c r="E108" s="27">
        <f t="shared" si="3"/>
        <v>6.7209775967413456</v>
      </c>
    </row>
    <row r="109" spans="1:5" ht="30.75">
      <c r="A109" s="6" t="s">
        <v>233</v>
      </c>
      <c r="B109" t="str">
        <f t="shared" si="4"/>
        <v>Свыше 41 и до 42 (включительно)</v>
      </c>
      <c r="C109" s="27">
        <v>15.38</v>
      </c>
      <c r="D109" s="27">
        <v>16.41</v>
      </c>
      <c r="E109" s="27">
        <f t="shared" si="3"/>
        <v>6.6970091027308154</v>
      </c>
    </row>
    <row r="110" spans="1:5" ht="30.75">
      <c r="A110" s="6" t="s">
        <v>233</v>
      </c>
      <c r="B110" t="str">
        <f t="shared" si="4"/>
        <v>Свыше 42 и до 43 (включительно)</v>
      </c>
      <c r="C110" s="27">
        <v>16.02</v>
      </c>
      <c r="D110" s="27">
        <v>17.09</v>
      </c>
      <c r="E110" s="27">
        <f t="shared" si="3"/>
        <v>6.6791510611735356</v>
      </c>
    </row>
    <row r="111" spans="1:5" ht="30.75">
      <c r="A111" s="6" t="s">
        <v>233</v>
      </c>
      <c r="B111" t="str">
        <f t="shared" si="4"/>
        <v>Свыше 43 и до 44 (включительно)</v>
      </c>
      <c r="C111" s="27">
        <v>16.66</v>
      </c>
      <c r="D111" s="27">
        <v>17.78</v>
      </c>
      <c r="E111" s="27">
        <f t="shared" si="3"/>
        <v>6.7226890756302575</v>
      </c>
    </row>
    <row r="112" spans="1:5" ht="30.75">
      <c r="A112" s="6" t="s">
        <v>233</v>
      </c>
      <c r="B112" t="str">
        <f t="shared" si="4"/>
        <v>Свыше 44 и до 45 (включительно)</v>
      </c>
      <c r="C112" s="27">
        <v>17.309999999999999</v>
      </c>
      <c r="D112" s="27">
        <v>18.47</v>
      </c>
      <c r="E112" s="27">
        <f t="shared" si="3"/>
        <v>6.7013287117273261</v>
      </c>
    </row>
    <row r="113" spans="1:5" ht="30.75">
      <c r="A113" s="6" t="s">
        <v>233</v>
      </c>
      <c r="B113" t="str">
        <f t="shared" si="4"/>
        <v>Свыше 45 и до 46 (включительно)</v>
      </c>
      <c r="C113" s="27">
        <v>17.95</v>
      </c>
      <c r="D113" s="27">
        <v>19.149999999999999</v>
      </c>
      <c r="E113" s="27">
        <f t="shared" si="3"/>
        <v>6.6852367688022243</v>
      </c>
    </row>
    <row r="114" spans="1:5" ht="30.75">
      <c r="A114" s="6" t="s">
        <v>233</v>
      </c>
      <c r="B114" t="str">
        <f t="shared" si="4"/>
        <v>Свыше 46 и до 47 (включительно)</v>
      </c>
      <c r="C114" s="27">
        <v>18.59</v>
      </c>
      <c r="D114" s="27">
        <v>19.84</v>
      </c>
      <c r="E114" s="27">
        <f t="shared" si="3"/>
        <v>6.7240451855836474</v>
      </c>
    </row>
    <row r="115" spans="1:5" ht="30.75">
      <c r="A115" s="6" t="s">
        <v>233</v>
      </c>
      <c r="B115" t="str">
        <f t="shared" si="4"/>
        <v>Свыше 47 и до 48 (включительно)</v>
      </c>
      <c r="C115" s="27">
        <v>19.239999999999998</v>
      </c>
      <c r="D115" s="27">
        <v>20.53</v>
      </c>
      <c r="E115" s="27">
        <f t="shared" si="3"/>
        <v>6.7047817047817189</v>
      </c>
    </row>
    <row r="116" spans="1:5" ht="30.75">
      <c r="A116" s="6" t="s">
        <v>233</v>
      </c>
      <c r="B116" t="str">
        <f t="shared" si="4"/>
        <v>Свыше 48 и до 49 (включительно)</v>
      </c>
      <c r="C116" s="27">
        <v>19.88</v>
      </c>
      <c r="D116" s="27">
        <v>21.21</v>
      </c>
      <c r="E116" s="27">
        <f t="shared" si="3"/>
        <v>6.6901408450704318</v>
      </c>
    </row>
    <row r="117" spans="1:5" ht="30.75">
      <c r="A117" s="6" t="s">
        <v>233</v>
      </c>
      <c r="B117" s="11" t="s">
        <v>231</v>
      </c>
      <c r="C117" s="27">
        <v>20.52</v>
      </c>
      <c r="D117" s="27">
        <v>21.89</v>
      </c>
      <c r="E117" s="27">
        <f t="shared" si="3"/>
        <v>6.6764132553606288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13DB-537E-4508-99CE-8AE7E8961646}">
  <dimension ref="A1:E119"/>
  <sheetViews>
    <sheetView workbookViewId="0">
      <selection activeCell="F2" sqref="F2"/>
    </sheetView>
  </sheetViews>
  <sheetFormatPr defaultRowHeight="15"/>
  <cols>
    <col min="1" max="1" width="12.85546875" bestFit="1" customWidth="1"/>
    <col min="2" max="2" width="36.5703125" bestFit="1" customWidth="1"/>
    <col min="3" max="3" width="28" style="26" bestFit="1" customWidth="1"/>
    <col min="4" max="4" width="27.42578125" style="27" bestFit="1" customWidth="1"/>
    <col min="5" max="5" width="25.5703125" bestFit="1" customWidth="1"/>
  </cols>
  <sheetData>
    <row r="1" spans="1:5">
      <c r="A1" t="s">
        <v>234</v>
      </c>
      <c r="B1" t="s">
        <v>235</v>
      </c>
      <c r="C1" s="26" t="s">
        <v>106</v>
      </c>
      <c r="D1" s="29" t="s">
        <v>107</v>
      </c>
      <c r="E1" t="s">
        <v>236</v>
      </c>
    </row>
    <row r="2" spans="1:5">
      <c r="A2" t="s">
        <v>237</v>
      </c>
      <c r="B2" t="s">
        <v>238</v>
      </c>
      <c r="C2" s="30">
        <v>35.89</v>
      </c>
      <c r="D2" s="27">
        <v>38.29</v>
      </c>
      <c r="E2">
        <f>(D2-C2)/C2*100</f>
        <v>6.687099470604621</v>
      </c>
    </row>
    <row r="3" spans="1:5">
      <c r="A3" t="s">
        <v>237</v>
      </c>
      <c r="B3" t="s">
        <v>239</v>
      </c>
      <c r="C3" s="26">
        <v>32.340000000000003</v>
      </c>
      <c r="D3" s="27">
        <v>34.51</v>
      </c>
      <c r="E3">
        <f t="shared" ref="E3:E66" si="0">(D3-C3)/C3*100</f>
        <v>6.7099567099566926</v>
      </c>
    </row>
    <row r="4" spans="1:5">
      <c r="A4" t="s">
        <v>237</v>
      </c>
      <c r="B4" t="s">
        <v>240</v>
      </c>
      <c r="C4" s="30">
        <v>32.159999999999997</v>
      </c>
      <c r="D4" s="27">
        <v>34.31</v>
      </c>
      <c r="E4">
        <f t="shared" si="0"/>
        <v>6.6853233830845955</v>
      </c>
    </row>
    <row r="5" spans="1:5">
      <c r="A5" t="s">
        <v>237</v>
      </c>
      <c r="B5" t="s">
        <v>241</v>
      </c>
      <c r="C5" s="30">
        <v>22.31</v>
      </c>
      <c r="D5" s="27">
        <v>23.8</v>
      </c>
      <c r="E5">
        <f t="shared" si="0"/>
        <v>6.6786194531600271</v>
      </c>
    </row>
    <row r="6" spans="1:5">
      <c r="A6" t="s">
        <v>237</v>
      </c>
      <c r="B6" t="s">
        <v>242</v>
      </c>
      <c r="C6" s="30">
        <v>24.29</v>
      </c>
      <c r="D6" s="27">
        <v>25.92</v>
      </c>
      <c r="E6">
        <f t="shared" si="0"/>
        <v>6.7105804857966351</v>
      </c>
    </row>
    <row r="7" spans="1:5">
      <c r="A7" t="s">
        <v>237</v>
      </c>
      <c r="B7" t="s">
        <v>243</v>
      </c>
      <c r="C7" s="30">
        <v>30.2</v>
      </c>
      <c r="D7" s="27">
        <v>32.22</v>
      </c>
      <c r="E7">
        <f t="shared" si="0"/>
        <v>6.6887417218543037</v>
      </c>
    </row>
    <row r="8" spans="1:5">
      <c r="A8" t="s">
        <v>237</v>
      </c>
      <c r="B8" t="s">
        <v>244</v>
      </c>
      <c r="C8" s="30">
        <v>23.3</v>
      </c>
      <c r="D8" s="27">
        <v>24.86</v>
      </c>
      <c r="E8">
        <f t="shared" si="0"/>
        <v>6.6952789699570765</v>
      </c>
    </row>
    <row r="9" spans="1:5">
      <c r="A9" t="s">
        <v>237</v>
      </c>
      <c r="B9" t="s">
        <v>245</v>
      </c>
      <c r="C9" s="30">
        <v>25.64</v>
      </c>
      <c r="D9" s="27">
        <v>27.36</v>
      </c>
      <c r="E9">
        <f t="shared" si="0"/>
        <v>6.7082683307332243</v>
      </c>
    </row>
    <row r="10" spans="1:5">
      <c r="A10" t="s">
        <v>237</v>
      </c>
      <c r="B10" t="s">
        <v>246</v>
      </c>
      <c r="C10" s="26">
        <v>32.159999999999997</v>
      </c>
      <c r="D10" s="27">
        <v>34.31</v>
      </c>
      <c r="E10">
        <f t="shared" si="0"/>
        <v>6.6853233830845955</v>
      </c>
    </row>
    <row r="11" spans="1:5">
      <c r="A11" t="s">
        <v>237</v>
      </c>
      <c r="B11" t="s">
        <v>247</v>
      </c>
      <c r="C11" s="30">
        <v>25.05</v>
      </c>
      <c r="D11" s="27">
        <v>26.73</v>
      </c>
      <c r="E11">
        <f t="shared" si="0"/>
        <v>6.7065868263473032</v>
      </c>
    </row>
    <row r="12" spans="1:5">
      <c r="A12" t="s">
        <v>237</v>
      </c>
      <c r="B12" t="s">
        <v>248</v>
      </c>
      <c r="C12" s="30">
        <v>16.829999999999998</v>
      </c>
      <c r="D12" s="27">
        <v>17.96</v>
      </c>
      <c r="E12">
        <f t="shared" si="0"/>
        <v>6.7142008318479069</v>
      </c>
    </row>
    <row r="13" spans="1:5">
      <c r="A13" t="s">
        <v>237</v>
      </c>
      <c r="B13" t="s">
        <v>249</v>
      </c>
      <c r="C13" s="30">
        <v>35.08</v>
      </c>
      <c r="D13" s="27">
        <v>37.43</v>
      </c>
      <c r="E13">
        <f t="shared" si="0"/>
        <v>6.6989737742303355</v>
      </c>
    </row>
    <row r="14" spans="1:5">
      <c r="A14" t="s">
        <v>237</v>
      </c>
      <c r="B14" t="s">
        <v>250</v>
      </c>
      <c r="C14" s="30">
        <v>18.18</v>
      </c>
      <c r="D14" s="27">
        <v>19.399999999999999</v>
      </c>
      <c r="E14">
        <f t="shared" si="0"/>
        <v>6.7106710671067047</v>
      </c>
    </row>
    <row r="15" spans="1:5">
      <c r="A15" t="s">
        <v>237</v>
      </c>
      <c r="B15" t="s">
        <v>251</v>
      </c>
      <c r="C15" s="30">
        <v>22.72</v>
      </c>
      <c r="D15" s="27">
        <v>24.24</v>
      </c>
      <c r="E15">
        <f t="shared" si="0"/>
        <v>6.6901408450704203</v>
      </c>
    </row>
    <row r="16" spans="1:5">
      <c r="A16" t="s">
        <v>237</v>
      </c>
      <c r="B16" t="s">
        <v>252</v>
      </c>
      <c r="C16" s="30">
        <v>28.81</v>
      </c>
      <c r="D16" s="27">
        <v>30.74</v>
      </c>
      <c r="E16">
        <f t="shared" si="0"/>
        <v>6.6990628254078439</v>
      </c>
    </row>
    <row r="17" spans="1:5">
      <c r="A17" t="s">
        <v>237</v>
      </c>
      <c r="B17" t="s">
        <v>253</v>
      </c>
      <c r="C17" s="26">
        <v>24.29</v>
      </c>
      <c r="D17" s="27">
        <v>25.92</v>
      </c>
      <c r="E17">
        <f t="shared" si="0"/>
        <v>6.7105804857966351</v>
      </c>
    </row>
    <row r="18" spans="1:5">
      <c r="A18" t="s">
        <v>254</v>
      </c>
      <c r="B18" s="6" t="s">
        <v>255</v>
      </c>
      <c r="C18" s="30">
        <v>17.41</v>
      </c>
      <c r="D18" s="27">
        <v>18.579999999999998</v>
      </c>
      <c r="E18">
        <f t="shared" si="0"/>
        <v>6.7202757036185989</v>
      </c>
    </row>
    <row r="19" spans="1:5">
      <c r="A19" t="s">
        <v>254</v>
      </c>
      <c r="B19" t="s">
        <v>256</v>
      </c>
      <c r="C19" s="30">
        <v>8.9499999999999993</v>
      </c>
      <c r="D19" s="27">
        <v>9.5500000000000007</v>
      </c>
      <c r="E19">
        <f t="shared" si="0"/>
        <v>6.7039106145251566</v>
      </c>
    </row>
    <row r="20" spans="1:5">
      <c r="A20" t="s">
        <v>254</v>
      </c>
      <c r="B20" s="10" t="s">
        <v>257</v>
      </c>
      <c r="C20" s="30">
        <v>10.32</v>
      </c>
      <c r="D20" s="27">
        <v>11.01</v>
      </c>
      <c r="E20">
        <f t="shared" si="0"/>
        <v>6.686046511627902</v>
      </c>
    </row>
    <row r="21" spans="1:5">
      <c r="A21" t="s">
        <v>254</v>
      </c>
      <c r="B21" s="10" t="s">
        <v>258</v>
      </c>
      <c r="C21" s="30">
        <v>12.29</v>
      </c>
      <c r="D21" s="27">
        <v>13.11</v>
      </c>
      <c r="E21">
        <f t="shared" si="0"/>
        <v>6.6720911310008164</v>
      </c>
    </row>
    <row r="22" spans="1:5">
      <c r="A22" t="s">
        <v>254</v>
      </c>
      <c r="B22" s="10" t="s">
        <v>259</v>
      </c>
      <c r="C22" s="30">
        <v>18.18</v>
      </c>
      <c r="D22" s="27">
        <v>19.399999999999999</v>
      </c>
      <c r="E22">
        <f t="shared" si="0"/>
        <v>6.7106710671067047</v>
      </c>
    </row>
    <row r="23" spans="1:5">
      <c r="A23" t="s">
        <v>254</v>
      </c>
      <c r="B23" s="10" t="s">
        <v>260</v>
      </c>
      <c r="C23" s="30">
        <v>4.5599999999999996</v>
      </c>
      <c r="D23" s="27">
        <v>4.87</v>
      </c>
      <c r="E23">
        <f t="shared" si="0"/>
        <v>6.7982456140350989</v>
      </c>
    </row>
    <row r="24" spans="1:5">
      <c r="A24" t="s">
        <v>254</v>
      </c>
      <c r="B24" s="10" t="s">
        <v>261</v>
      </c>
      <c r="C24" s="30">
        <v>17.989999999999998</v>
      </c>
      <c r="D24" s="27">
        <v>19.2</v>
      </c>
      <c r="E24">
        <f t="shared" si="0"/>
        <v>6.7259588660366925</v>
      </c>
    </row>
    <row r="25" spans="1:5">
      <c r="A25" t="s">
        <v>254</v>
      </c>
      <c r="B25" s="10" t="s">
        <v>262</v>
      </c>
      <c r="C25" s="30">
        <v>25.27</v>
      </c>
      <c r="D25" s="27">
        <v>26.96</v>
      </c>
      <c r="E25">
        <f t="shared" si="0"/>
        <v>6.687772061733285</v>
      </c>
    </row>
    <row r="26" spans="1:5">
      <c r="A26" t="s">
        <v>254</v>
      </c>
      <c r="B26" s="10" t="s">
        <v>263</v>
      </c>
      <c r="C26" s="30">
        <v>9.94</v>
      </c>
      <c r="D26" s="27">
        <v>10.61</v>
      </c>
      <c r="E26">
        <f t="shared" si="0"/>
        <v>6.7404426559356132</v>
      </c>
    </row>
    <row r="27" spans="1:5">
      <c r="A27" t="s">
        <v>254</v>
      </c>
      <c r="B27" s="10" t="s">
        <v>264</v>
      </c>
      <c r="C27" s="30">
        <v>12.5</v>
      </c>
      <c r="D27" s="27">
        <v>13.34</v>
      </c>
      <c r="E27">
        <f t="shared" si="0"/>
        <v>6.719999999999998</v>
      </c>
    </row>
    <row r="28" spans="1:5">
      <c r="A28" t="s">
        <v>254</v>
      </c>
      <c r="B28" s="10" t="s">
        <v>265</v>
      </c>
      <c r="C28" s="30">
        <v>14.08</v>
      </c>
      <c r="D28" s="27">
        <v>15.02</v>
      </c>
      <c r="E28">
        <f t="shared" si="0"/>
        <v>6.6761363636363606</v>
      </c>
    </row>
    <row r="29" spans="1:5">
      <c r="A29" t="s">
        <v>254</v>
      </c>
      <c r="B29" s="10" t="s">
        <v>266</v>
      </c>
      <c r="C29" s="30">
        <v>26.26</v>
      </c>
      <c r="D29" s="27">
        <v>28.02</v>
      </c>
      <c r="E29">
        <f t="shared" si="0"/>
        <v>6.7022086824066944</v>
      </c>
    </row>
    <row r="30" spans="1:5">
      <c r="A30" t="s">
        <v>254</v>
      </c>
      <c r="B30" s="10" t="s">
        <v>267</v>
      </c>
      <c r="C30" s="30">
        <v>5.64</v>
      </c>
      <c r="D30" s="27">
        <v>6.02</v>
      </c>
      <c r="E30">
        <f t="shared" si="0"/>
        <v>6.7375886524822679</v>
      </c>
    </row>
    <row r="31" spans="1:5">
      <c r="A31" t="s">
        <v>254</v>
      </c>
      <c r="B31" s="10" t="s">
        <v>268</v>
      </c>
      <c r="C31" s="30">
        <v>14.25</v>
      </c>
      <c r="D31" s="27">
        <v>15.2</v>
      </c>
      <c r="E31">
        <f t="shared" si="0"/>
        <v>6.6666666666666607</v>
      </c>
    </row>
    <row r="32" spans="1:5">
      <c r="A32" t="s">
        <v>254</v>
      </c>
      <c r="B32" s="10" t="s">
        <v>269</v>
      </c>
      <c r="C32" s="30">
        <v>4.5599999999999996</v>
      </c>
      <c r="D32" s="27">
        <v>4.87</v>
      </c>
      <c r="E32">
        <f t="shared" si="0"/>
        <v>6.7982456140350989</v>
      </c>
    </row>
    <row r="33" spans="1:5">
      <c r="A33" t="s">
        <v>254</v>
      </c>
      <c r="B33" s="10" t="s">
        <v>270</v>
      </c>
      <c r="C33" s="30">
        <v>14.25</v>
      </c>
      <c r="D33" s="27">
        <v>15.2</v>
      </c>
      <c r="E33">
        <f>(D33-C33)/C33*100</f>
        <v>6.6666666666666607</v>
      </c>
    </row>
    <row r="34" spans="1:5">
      <c r="A34" t="s">
        <v>254</v>
      </c>
      <c r="B34" s="10" t="s">
        <v>271</v>
      </c>
      <c r="C34" s="30">
        <v>23.88</v>
      </c>
      <c r="D34" s="27">
        <v>25.48</v>
      </c>
      <c r="E34">
        <f t="shared" si="0"/>
        <v>6.7001675041876112</v>
      </c>
    </row>
    <row r="35" spans="1:5">
      <c r="A35" t="s">
        <v>254</v>
      </c>
      <c r="B35" s="12" t="s">
        <v>272</v>
      </c>
      <c r="C35" s="30">
        <v>7.16</v>
      </c>
      <c r="D35" s="27">
        <v>7.64</v>
      </c>
      <c r="E35">
        <f t="shared" si="0"/>
        <v>6.7039106145251326</v>
      </c>
    </row>
    <row r="36" spans="1:5">
      <c r="A36" t="s">
        <v>254</v>
      </c>
      <c r="B36" s="12" t="s">
        <v>273</v>
      </c>
      <c r="C36" s="30">
        <v>15.06</v>
      </c>
      <c r="D36" s="27">
        <v>16.07</v>
      </c>
      <c r="E36">
        <f t="shared" si="0"/>
        <v>6.7065073041168644</v>
      </c>
    </row>
    <row r="37" spans="1:5">
      <c r="A37" t="s">
        <v>254</v>
      </c>
      <c r="B37" t="s">
        <v>274</v>
      </c>
      <c r="C37" s="26">
        <v>18.18</v>
      </c>
      <c r="D37" s="27">
        <v>19.399999999999999</v>
      </c>
      <c r="E37">
        <f t="shared" si="0"/>
        <v>6.7106710671067047</v>
      </c>
    </row>
    <row r="38" spans="1:5">
      <c r="A38" t="s">
        <v>254</v>
      </c>
      <c r="B38" t="s">
        <v>275</v>
      </c>
      <c r="C38" s="26">
        <v>10.55</v>
      </c>
      <c r="D38" s="27">
        <v>11.26</v>
      </c>
      <c r="E38">
        <f t="shared" si="0"/>
        <v>6.7298578199052033</v>
      </c>
    </row>
    <row r="39" spans="1:5">
      <c r="A39" t="s">
        <v>276</v>
      </c>
      <c r="B39" s="6" t="s">
        <v>277</v>
      </c>
      <c r="C39" s="30">
        <v>19.91</v>
      </c>
      <c r="D39" s="27">
        <v>21.24</v>
      </c>
      <c r="E39">
        <f t="shared" si="0"/>
        <v>6.6800602712204835</v>
      </c>
    </row>
    <row r="40" spans="1:5">
      <c r="A40" t="s">
        <v>276</v>
      </c>
      <c r="B40" s="10" t="s">
        <v>278</v>
      </c>
      <c r="C40" s="30">
        <v>28.41</v>
      </c>
      <c r="D40" s="27">
        <v>30.31</v>
      </c>
      <c r="E40">
        <f t="shared" si="0"/>
        <v>6.6877859908482886</v>
      </c>
    </row>
    <row r="41" spans="1:5">
      <c r="A41" t="s">
        <v>276</v>
      </c>
      <c r="B41" s="10" t="s">
        <v>279</v>
      </c>
      <c r="C41" s="30">
        <v>28.41</v>
      </c>
      <c r="D41" s="27">
        <v>30.31</v>
      </c>
      <c r="E41">
        <f t="shared" si="0"/>
        <v>6.6877859908482886</v>
      </c>
    </row>
    <row r="42" spans="1:5">
      <c r="A42" t="s">
        <v>276</v>
      </c>
      <c r="B42" s="10" t="s">
        <v>280</v>
      </c>
      <c r="C42" s="30">
        <v>21.74</v>
      </c>
      <c r="D42" s="27">
        <v>23.2</v>
      </c>
      <c r="E42">
        <f t="shared" si="0"/>
        <v>6.7157313707451749</v>
      </c>
    </row>
    <row r="43" spans="1:5">
      <c r="A43" t="s">
        <v>276</v>
      </c>
      <c r="B43" s="10" t="s">
        <v>281</v>
      </c>
      <c r="C43" s="30">
        <v>30.78</v>
      </c>
      <c r="D43" s="27">
        <v>32.840000000000003</v>
      </c>
      <c r="E43">
        <f t="shared" si="0"/>
        <v>6.6926575698505593</v>
      </c>
    </row>
    <row r="44" spans="1:5">
      <c r="A44" t="s">
        <v>276</v>
      </c>
      <c r="B44" s="10" t="s">
        <v>282</v>
      </c>
      <c r="C44" s="30">
        <v>14.86</v>
      </c>
      <c r="D44" s="27">
        <v>15.86</v>
      </c>
      <c r="E44">
        <f t="shared" si="0"/>
        <v>6.7294751009421265</v>
      </c>
    </row>
    <row r="45" spans="1:5">
      <c r="A45" t="s">
        <v>276</v>
      </c>
      <c r="B45" s="10" t="s">
        <v>283</v>
      </c>
      <c r="C45" s="30">
        <v>21.55</v>
      </c>
      <c r="D45" s="27">
        <v>22.99</v>
      </c>
      <c r="E45">
        <f t="shared" si="0"/>
        <v>6.6821345707656503</v>
      </c>
    </row>
    <row r="46" spans="1:5">
      <c r="A46" t="s">
        <v>276</v>
      </c>
      <c r="B46" s="10" t="s">
        <v>284</v>
      </c>
      <c r="C46" s="30">
        <v>31.93</v>
      </c>
      <c r="D46" s="27">
        <v>34.07</v>
      </c>
      <c r="E46">
        <f t="shared" si="0"/>
        <v>6.7021609771374901</v>
      </c>
    </row>
    <row r="47" spans="1:5">
      <c r="A47" t="s">
        <v>276</v>
      </c>
      <c r="B47" s="10" t="s">
        <v>285</v>
      </c>
      <c r="C47" s="30">
        <v>18.39</v>
      </c>
      <c r="D47" s="27">
        <v>19.62</v>
      </c>
      <c r="E47">
        <f t="shared" si="0"/>
        <v>6.6884176182708019</v>
      </c>
    </row>
    <row r="48" spans="1:5">
      <c r="A48" t="s">
        <v>276</v>
      </c>
      <c r="B48" s="10" t="s">
        <v>286</v>
      </c>
      <c r="C48" s="30">
        <v>35.450000000000003</v>
      </c>
      <c r="D48" s="27">
        <v>37.83</v>
      </c>
      <c r="E48">
        <f t="shared" si="0"/>
        <v>6.7136812411847533</v>
      </c>
    </row>
    <row r="49" spans="1:5">
      <c r="A49" t="s">
        <v>276</v>
      </c>
      <c r="B49" s="10" t="s">
        <v>287</v>
      </c>
      <c r="C49" s="30">
        <v>17.41</v>
      </c>
      <c r="D49" s="27">
        <v>18.579999999999998</v>
      </c>
      <c r="E49">
        <f t="shared" si="0"/>
        <v>6.7202757036185989</v>
      </c>
    </row>
    <row r="50" spans="1:5">
      <c r="A50" t="s">
        <v>276</v>
      </c>
      <c r="B50" s="10" t="s">
        <v>288</v>
      </c>
      <c r="C50" s="30">
        <v>15.24</v>
      </c>
      <c r="D50" s="27">
        <v>16.260000000000002</v>
      </c>
      <c r="E50">
        <f t="shared" si="0"/>
        <v>6.6929133858267802</v>
      </c>
    </row>
    <row r="51" spans="1:5">
      <c r="A51" t="s">
        <v>276</v>
      </c>
      <c r="B51" s="10" t="s">
        <v>289</v>
      </c>
      <c r="C51" s="30">
        <v>18.97</v>
      </c>
      <c r="D51" s="27">
        <v>20.239999999999998</v>
      </c>
      <c r="E51">
        <f t="shared" si="0"/>
        <v>6.6947812335266184</v>
      </c>
    </row>
    <row r="52" spans="1:5">
      <c r="A52" t="s">
        <v>276</v>
      </c>
      <c r="B52" s="10" t="s">
        <v>290</v>
      </c>
      <c r="C52" s="30">
        <v>18.97</v>
      </c>
      <c r="D52" s="27">
        <v>20.239999999999998</v>
      </c>
      <c r="E52">
        <f t="shared" si="0"/>
        <v>6.6947812335266184</v>
      </c>
    </row>
    <row r="53" spans="1:5">
      <c r="A53" t="s">
        <v>276</v>
      </c>
      <c r="B53" s="10" t="s">
        <v>291</v>
      </c>
      <c r="C53" s="30">
        <v>24.66</v>
      </c>
      <c r="D53" s="27">
        <v>26.31</v>
      </c>
      <c r="E53">
        <f t="shared" si="0"/>
        <v>6.6909975669099699</v>
      </c>
    </row>
    <row r="54" spans="1:5">
      <c r="A54" t="s">
        <v>276</v>
      </c>
      <c r="B54" s="10" t="s">
        <v>292</v>
      </c>
      <c r="C54" s="30">
        <v>14.25</v>
      </c>
      <c r="D54" s="27">
        <v>15.2</v>
      </c>
      <c r="E54">
        <f t="shared" si="0"/>
        <v>6.6666666666666607</v>
      </c>
    </row>
    <row r="55" spans="1:5">
      <c r="A55" t="s">
        <v>276</v>
      </c>
      <c r="B55" s="10" t="s">
        <v>293</v>
      </c>
      <c r="C55" s="30">
        <v>22.9</v>
      </c>
      <c r="D55" s="27">
        <v>24.43</v>
      </c>
      <c r="E55">
        <f t="shared" si="0"/>
        <v>6.6812227074235855</v>
      </c>
    </row>
    <row r="56" spans="1:5">
      <c r="A56" t="s">
        <v>276</v>
      </c>
      <c r="B56" s="10" t="s">
        <v>294</v>
      </c>
      <c r="C56" s="30">
        <v>31.38</v>
      </c>
      <c r="D56" s="27">
        <v>33.479999999999997</v>
      </c>
      <c r="E56">
        <f t="shared" si="0"/>
        <v>6.6921606118546775</v>
      </c>
    </row>
    <row r="57" spans="1:5">
      <c r="A57" t="s">
        <v>276</v>
      </c>
      <c r="B57" s="10" t="s">
        <v>295</v>
      </c>
      <c r="C57" s="30">
        <v>18.18</v>
      </c>
      <c r="D57" s="27">
        <v>19.399999999999999</v>
      </c>
      <c r="E57">
        <f t="shared" si="0"/>
        <v>6.7106710671067047</v>
      </c>
    </row>
    <row r="58" spans="1:5">
      <c r="A58" t="s">
        <v>276</v>
      </c>
      <c r="B58" s="12" t="s">
        <v>296</v>
      </c>
      <c r="C58" s="30">
        <v>31.38</v>
      </c>
      <c r="D58" s="27">
        <v>33.479999999999997</v>
      </c>
      <c r="E58">
        <f t="shared" si="0"/>
        <v>6.6921606118546775</v>
      </c>
    </row>
    <row r="59" spans="1:5">
      <c r="A59" t="s">
        <v>276</v>
      </c>
      <c r="B59" s="12" t="s">
        <v>297</v>
      </c>
      <c r="C59" s="30">
        <v>26.07</v>
      </c>
      <c r="D59" s="27">
        <v>27.82</v>
      </c>
      <c r="E59">
        <f t="shared" si="0"/>
        <v>6.7126965861143066</v>
      </c>
    </row>
    <row r="60" spans="1:5">
      <c r="A60" t="s">
        <v>298</v>
      </c>
      <c r="B60" s="6" t="s">
        <v>299</v>
      </c>
      <c r="C60" s="30">
        <v>39.99</v>
      </c>
      <c r="D60" s="27">
        <v>42.67</v>
      </c>
      <c r="E60">
        <f t="shared" si="0"/>
        <v>6.7016754188547116</v>
      </c>
    </row>
    <row r="61" spans="1:5">
      <c r="A61" t="s">
        <v>298</v>
      </c>
      <c r="B61" s="10" t="s">
        <v>300</v>
      </c>
      <c r="C61" s="30">
        <v>41.19</v>
      </c>
      <c r="D61" s="27">
        <v>43.95</v>
      </c>
      <c r="E61">
        <f t="shared" si="0"/>
        <v>6.7006554989075156</v>
      </c>
    </row>
    <row r="62" spans="1:5">
      <c r="A62" t="s">
        <v>298</v>
      </c>
      <c r="B62" s="10" t="s">
        <v>301</v>
      </c>
      <c r="C62" s="30">
        <v>31.54</v>
      </c>
      <c r="D62" s="27">
        <v>33.65</v>
      </c>
      <c r="E62">
        <f t="shared" si="0"/>
        <v>6.6899175649968274</v>
      </c>
    </row>
    <row r="63" spans="1:5">
      <c r="A63" t="s">
        <v>298</v>
      </c>
      <c r="B63" s="10" t="s">
        <v>302</v>
      </c>
      <c r="C63" s="30">
        <v>38.43</v>
      </c>
      <c r="D63" s="27">
        <v>41</v>
      </c>
      <c r="E63">
        <f t="shared" si="0"/>
        <v>6.6874837366640651</v>
      </c>
    </row>
    <row r="64" spans="1:5">
      <c r="A64" t="s">
        <v>298</v>
      </c>
      <c r="B64" s="10" t="s">
        <v>303</v>
      </c>
      <c r="C64" s="30">
        <v>25.05</v>
      </c>
      <c r="D64" s="27">
        <v>26.73</v>
      </c>
      <c r="E64">
        <f t="shared" si="0"/>
        <v>6.7065868263473032</v>
      </c>
    </row>
    <row r="65" spans="1:5">
      <c r="A65" t="s">
        <v>298</v>
      </c>
      <c r="B65" s="10" t="s">
        <v>304</v>
      </c>
      <c r="C65" s="30">
        <v>39.99</v>
      </c>
      <c r="D65" s="27">
        <v>42.67</v>
      </c>
      <c r="E65">
        <f t="shared" si="0"/>
        <v>6.7016754188547116</v>
      </c>
    </row>
    <row r="66" spans="1:5">
      <c r="A66" t="s">
        <v>298</v>
      </c>
      <c r="B66" s="10" t="s">
        <v>305</v>
      </c>
      <c r="C66" s="30">
        <v>23.53</v>
      </c>
      <c r="D66" s="27">
        <v>25.11</v>
      </c>
      <c r="E66">
        <f t="shared" si="0"/>
        <v>6.714832129196763</v>
      </c>
    </row>
    <row r="67" spans="1:5">
      <c r="A67" t="s">
        <v>298</v>
      </c>
      <c r="B67" s="10" t="s">
        <v>306</v>
      </c>
      <c r="C67" s="30">
        <v>41.4</v>
      </c>
      <c r="D67" s="27">
        <v>44.17</v>
      </c>
      <c r="E67">
        <f t="shared" ref="E67:E119" si="1">(D67-C67)/C67*100</f>
        <v>6.6908212560386549</v>
      </c>
    </row>
    <row r="68" spans="1:5">
      <c r="A68" t="s">
        <v>298</v>
      </c>
      <c r="B68" s="10" t="s">
        <v>307</v>
      </c>
      <c r="C68" s="30">
        <v>29.79</v>
      </c>
      <c r="D68" s="27">
        <v>31.79</v>
      </c>
      <c r="E68">
        <f t="shared" si="1"/>
        <v>6.7136623027861706</v>
      </c>
    </row>
    <row r="69" spans="1:5">
      <c r="A69" t="s">
        <v>298</v>
      </c>
      <c r="B69" s="10" t="s">
        <v>308</v>
      </c>
      <c r="C69" s="30">
        <v>35.68</v>
      </c>
      <c r="D69" s="27">
        <v>38.07</v>
      </c>
      <c r="E69">
        <f t="shared" si="1"/>
        <v>6.6984304932735439</v>
      </c>
    </row>
    <row r="70" spans="1:5">
      <c r="A70" t="s">
        <v>298</v>
      </c>
      <c r="B70" s="10" t="s">
        <v>309</v>
      </c>
      <c r="C70" s="30">
        <v>30.56</v>
      </c>
      <c r="D70" s="27">
        <v>32.61</v>
      </c>
      <c r="E70">
        <f t="shared" si="1"/>
        <v>6.7081151832460755</v>
      </c>
    </row>
    <row r="71" spans="1:5">
      <c r="A71" t="s">
        <v>298</v>
      </c>
      <c r="B71" s="10" t="s">
        <v>310</v>
      </c>
      <c r="C71" s="30">
        <v>22.31</v>
      </c>
      <c r="D71" s="27">
        <v>23.8</v>
      </c>
      <c r="E71">
        <f t="shared" si="1"/>
        <v>6.6786194531600271</v>
      </c>
    </row>
    <row r="72" spans="1:5">
      <c r="A72" t="s">
        <v>298</v>
      </c>
      <c r="B72" s="10" t="s">
        <v>311</v>
      </c>
      <c r="C72" s="30">
        <v>28.81</v>
      </c>
      <c r="D72" s="27">
        <v>30.74</v>
      </c>
      <c r="E72">
        <f t="shared" si="1"/>
        <v>6.6990628254078439</v>
      </c>
    </row>
    <row r="73" spans="1:5">
      <c r="A73" t="s">
        <v>298</v>
      </c>
      <c r="B73" s="10" t="s">
        <v>312</v>
      </c>
      <c r="C73" s="30">
        <v>30.56</v>
      </c>
      <c r="D73" s="27">
        <v>32.61</v>
      </c>
      <c r="E73">
        <f t="shared" si="1"/>
        <v>6.7081151832460755</v>
      </c>
    </row>
    <row r="74" spans="1:5">
      <c r="A74" t="s">
        <v>298</v>
      </c>
      <c r="B74" s="10" t="s">
        <v>313</v>
      </c>
      <c r="C74" s="30">
        <v>34.11</v>
      </c>
      <c r="D74" s="27">
        <v>36.4</v>
      </c>
      <c r="E74">
        <f t="shared" si="1"/>
        <v>6.7135737320433861</v>
      </c>
    </row>
    <row r="75" spans="1:5">
      <c r="A75" t="s">
        <v>298</v>
      </c>
      <c r="B75" s="12" t="s">
        <v>314</v>
      </c>
      <c r="C75" s="30">
        <v>23.3</v>
      </c>
      <c r="D75" s="27">
        <v>24.86</v>
      </c>
      <c r="E75">
        <f t="shared" si="1"/>
        <v>6.6952789699570765</v>
      </c>
    </row>
    <row r="76" spans="1:5">
      <c r="A76" t="s">
        <v>298</v>
      </c>
      <c r="B76" s="12" t="s">
        <v>315</v>
      </c>
      <c r="C76" s="30">
        <v>36.270000000000003</v>
      </c>
      <c r="D76" s="27">
        <v>38.700000000000003</v>
      </c>
      <c r="E76">
        <f t="shared" si="1"/>
        <v>6.6997518610421816</v>
      </c>
    </row>
    <row r="77" spans="1:5">
      <c r="A77" t="s">
        <v>316</v>
      </c>
      <c r="B77" s="6" t="s">
        <v>317</v>
      </c>
      <c r="C77" s="30">
        <v>18.97</v>
      </c>
      <c r="D77" s="27">
        <v>20.239999999999998</v>
      </c>
      <c r="E77">
        <f t="shared" si="1"/>
        <v>6.6947812335266184</v>
      </c>
    </row>
    <row r="78" spans="1:5">
      <c r="A78" t="s">
        <v>316</v>
      </c>
      <c r="B78" s="10" t="s">
        <v>318</v>
      </c>
      <c r="C78" s="30">
        <v>27.82</v>
      </c>
      <c r="D78" s="27">
        <v>29.68</v>
      </c>
      <c r="E78">
        <f t="shared" si="1"/>
        <v>6.6858375269590198</v>
      </c>
    </row>
    <row r="79" spans="1:5">
      <c r="A79" t="s">
        <v>316</v>
      </c>
      <c r="B79" s="10" t="s">
        <v>319</v>
      </c>
      <c r="C79" s="30">
        <v>23.53</v>
      </c>
      <c r="D79" s="27">
        <v>25.11</v>
      </c>
      <c r="E79">
        <f t="shared" si="1"/>
        <v>6.714832129196763</v>
      </c>
    </row>
    <row r="80" spans="1:5">
      <c r="A80" t="s">
        <v>316</v>
      </c>
      <c r="B80" s="10" t="s">
        <v>320</v>
      </c>
      <c r="C80" s="30">
        <v>25.64</v>
      </c>
      <c r="D80" s="27">
        <v>27.36</v>
      </c>
      <c r="E80">
        <f t="shared" si="1"/>
        <v>6.7082683307332243</v>
      </c>
    </row>
    <row r="81" spans="1:5">
      <c r="A81" t="s">
        <v>316</v>
      </c>
      <c r="B81" s="10" t="s">
        <v>321</v>
      </c>
      <c r="C81" s="30">
        <v>33.72</v>
      </c>
      <c r="D81" s="27">
        <v>35.979999999999997</v>
      </c>
      <c r="E81">
        <f t="shared" si="1"/>
        <v>6.7022538552787596</v>
      </c>
    </row>
    <row r="82" spans="1:5">
      <c r="A82" t="s">
        <v>316</v>
      </c>
      <c r="B82" s="10" t="s">
        <v>322</v>
      </c>
      <c r="C82" s="30">
        <v>46.68</v>
      </c>
      <c r="D82" s="27">
        <v>49.81</v>
      </c>
      <c r="E82">
        <f t="shared" si="1"/>
        <v>6.7052270779777263</v>
      </c>
    </row>
    <row r="83" spans="1:5">
      <c r="A83" t="s">
        <v>316</v>
      </c>
      <c r="B83" s="10" t="s">
        <v>323</v>
      </c>
      <c r="C83" s="30">
        <v>40.799999999999997</v>
      </c>
      <c r="D83" s="27">
        <v>43.53</v>
      </c>
      <c r="E83">
        <f t="shared" si="1"/>
        <v>6.6911764705882444</v>
      </c>
    </row>
    <row r="84" spans="1:5">
      <c r="A84" t="s">
        <v>316</v>
      </c>
      <c r="B84" s="10" t="s">
        <v>324</v>
      </c>
      <c r="C84" s="30">
        <v>17.21</v>
      </c>
      <c r="D84" s="27">
        <v>18.36</v>
      </c>
      <c r="E84">
        <f t="shared" si="1"/>
        <v>6.6821615339918567</v>
      </c>
    </row>
    <row r="85" spans="1:5">
      <c r="A85" t="s">
        <v>316</v>
      </c>
      <c r="B85" s="10" t="s">
        <v>325</v>
      </c>
      <c r="C85" s="30">
        <v>17.010000000000002</v>
      </c>
      <c r="D85" s="27">
        <v>18.149999999999999</v>
      </c>
      <c r="E85">
        <f t="shared" si="1"/>
        <v>6.70194003527335</v>
      </c>
    </row>
    <row r="86" spans="1:5">
      <c r="A86" t="s">
        <v>316</v>
      </c>
      <c r="B86" s="10" t="s">
        <v>326</v>
      </c>
      <c r="C86" s="30">
        <v>25.64</v>
      </c>
      <c r="D86" s="27">
        <v>27.36</v>
      </c>
      <c r="E86">
        <f t="shared" si="1"/>
        <v>6.7082683307332243</v>
      </c>
    </row>
    <row r="87" spans="1:5">
      <c r="A87" t="s">
        <v>316</v>
      </c>
      <c r="B87" s="10" t="s">
        <v>327</v>
      </c>
      <c r="C87" s="30">
        <v>35.08</v>
      </c>
      <c r="D87" s="27">
        <v>37.43</v>
      </c>
      <c r="E87">
        <f t="shared" si="1"/>
        <v>6.6989737742303355</v>
      </c>
    </row>
    <row r="88" spans="1:5">
      <c r="A88" t="s">
        <v>316</v>
      </c>
      <c r="B88" s="10" t="s">
        <v>328</v>
      </c>
      <c r="C88" s="30">
        <v>31.93</v>
      </c>
      <c r="D88" s="27">
        <v>34.07</v>
      </c>
      <c r="E88">
        <f t="shared" si="1"/>
        <v>6.7021609771374901</v>
      </c>
    </row>
    <row r="89" spans="1:5">
      <c r="A89" t="s">
        <v>316</v>
      </c>
      <c r="B89" s="10" t="s">
        <v>329</v>
      </c>
      <c r="C89" s="30">
        <v>12.5</v>
      </c>
      <c r="D89" s="27">
        <v>13.34</v>
      </c>
      <c r="E89">
        <f t="shared" si="1"/>
        <v>6.719999999999998</v>
      </c>
    </row>
    <row r="90" spans="1:5">
      <c r="A90" t="s">
        <v>316</v>
      </c>
      <c r="B90" s="10" t="s">
        <v>330</v>
      </c>
      <c r="C90" s="30">
        <v>50.62</v>
      </c>
      <c r="D90" s="27">
        <v>54.01</v>
      </c>
      <c r="E90">
        <f t="shared" si="1"/>
        <v>6.6969577242196783</v>
      </c>
    </row>
    <row r="91" spans="1:5">
      <c r="A91" t="s">
        <v>316</v>
      </c>
      <c r="B91" s="10" t="s">
        <v>331</v>
      </c>
      <c r="C91" s="30">
        <v>25.49</v>
      </c>
      <c r="D91" s="27">
        <v>27.2</v>
      </c>
      <c r="E91">
        <f t="shared" si="1"/>
        <v>6.7085131424087914</v>
      </c>
    </row>
    <row r="92" spans="1:5">
      <c r="A92" t="s">
        <v>316</v>
      </c>
      <c r="B92" s="10" t="s">
        <v>332</v>
      </c>
      <c r="C92" s="30">
        <v>41.55</v>
      </c>
      <c r="D92" s="27">
        <v>44.33</v>
      </c>
      <c r="E92">
        <f t="shared" si="1"/>
        <v>6.6907340553549961</v>
      </c>
    </row>
    <row r="93" spans="1:5">
      <c r="A93" t="s">
        <v>316</v>
      </c>
      <c r="B93" s="10" t="s">
        <v>333</v>
      </c>
      <c r="C93" s="30">
        <v>28.81</v>
      </c>
      <c r="D93" s="27">
        <v>30.74</v>
      </c>
      <c r="E93">
        <f t="shared" si="1"/>
        <v>6.6990628254078439</v>
      </c>
    </row>
    <row r="94" spans="1:5">
      <c r="A94" t="s">
        <v>316</v>
      </c>
      <c r="B94" s="10" t="s">
        <v>334</v>
      </c>
      <c r="C94" s="30">
        <v>30.56</v>
      </c>
      <c r="D94" s="27">
        <v>32.61</v>
      </c>
      <c r="E94">
        <f t="shared" si="1"/>
        <v>6.7081151832460755</v>
      </c>
    </row>
    <row r="95" spans="1:5">
      <c r="A95" t="s">
        <v>316</v>
      </c>
      <c r="B95" s="10" t="s">
        <v>335</v>
      </c>
      <c r="C95" s="30">
        <v>19.97</v>
      </c>
      <c r="D95" s="27">
        <v>21.31</v>
      </c>
      <c r="E95">
        <f t="shared" si="1"/>
        <v>6.7100650976464697</v>
      </c>
    </row>
    <row r="96" spans="1:5">
      <c r="A96" t="s">
        <v>316</v>
      </c>
      <c r="B96" s="10" t="s">
        <v>336</v>
      </c>
      <c r="C96" s="30">
        <v>28.02</v>
      </c>
      <c r="D96" s="27">
        <v>29.9</v>
      </c>
      <c r="E96">
        <f t="shared" si="1"/>
        <v>6.7094932191291896</v>
      </c>
    </row>
    <row r="97" spans="1:5">
      <c r="A97" t="s">
        <v>316</v>
      </c>
      <c r="B97" s="12" t="s">
        <v>337</v>
      </c>
      <c r="C97" s="30">
        <v>28.41</v>
      </c>
      <c r="D97" s="27">
        <v>30.31</v>
      </c>
      <c r="E97">
        <f t="shared" si="1"/>
        <v>6.6877859908482886</v>
      </c>
    </row>
    <row r="98" spans="1:5">
      <c r="A98" t="s">
        <v>316</v>
      </c>
      <c r="B98" s="12" t="s">
        <v>338</v>
      </c>
      <c r="C98" s="30">
        <v>27.45</v>
      </c>
      <c r="D98" s="27">
        <v>29.29</v>
      </c>
      <c r="E98">
        <f t="shared" si="1"/>
        <v>6.7030965391621127</v>
      </c>
    </row>
    <row r="99" spans="1:5">
      <c r="A99" t="s">
        <v>339</v>
      </c>
      <c r="B99" s="6" t="s">
        <v>340</v>
      </c>
      <c r="C99" s="30">
        <v>31.93</v>
      </c>
      <c r="D99" s="27">
        <v>34.07</v>
      </c>
      <c r="E99">
        <f t="shared" si="1"/>
        <v>6.7021609771374901</v>
      </c>
    </row>
    <row r="100" spans="1:5">
      <c r="A100" t="s">
        <v>339</v>
      </c>
      <c r="B100" s="10" t="s">
        <v>341</v>
      </c>
      <c r="C100" s="30">
        <v>35.299999999999997</v>
      </c>
      <c r="D100" s="27">
        <v>37.67</v>
      </c>
      <c r="E100">
        <f t="shared" si="1"/>
        <v>6.7138810198300414</v>
      </c>
    </row>
    <row r="101" spans="1:5">
      <c r="A101" t="s">
        <v>339</v>
      </c>
      <c r="B101" s="10" t="s">
        <v>342</v>
      </c>
      <c r="C101" s="30">
        <v>26.83</v>
      </c>
      <c r="D101" s="27">
        <v>28.63</v>
      </c>
      <c r="E101">
        <f t="shared" si="1"/>
        <v>6.7089079388743977</v>
      </c>
    </row>
    <row r="102" spans="1:5">
      <c r="A102" t="s">
        <v>339</v>
      </c>
      <c r="B102" s="10" t="s">
        <v>343</v>
      </c>
      <c r="C102" s="30">
        <v>24.07</v>
      </c>
      <c r="D102" s="27">
        <v>25.68</v>
      </c>
      <c r="E102">
        <f t="shared" si="1"/>
        <v>6.6888242625675094</v>
      </c>
    </row>
    <row r="103" spans="1:5">
      <c r="A103" t="s">
        <v>339</v>
      </c>
      <c r="B103" s="10" t="s">
        <v>344</v>
      </c>
      <c r="C103" s="30">
        <v>29.58</v>
      </c>
      <c r="D103" s="27">
        <v>31.56</v>
      </c>
      <c r="E103">
        <f t="shared" si="1"/>
        <v>6.6937119675456405</v>
      </c>
    </row>
    <row r="104" spans="1:5">
      <c r="A104" t="s">
        <v>339</v>
      </c>
      <c r="B104" s="10" t="s">
        <v>345</v>
      </c>
      <c r="C104" s="30">
        <v>23.68</v>
      </c>
      <c r="D104" s="27">
        <v>25.27</v>
      </c>
      <c r="E104">
        <f t="shared" si="1"/>
        <v>6.7145270270270272</v>
      </c>
    </row>
    <row r="105" spans="1:5">
      <c r="A105" t="s">
        <v>339</v>
      </c>
      <c r="B105" s="10" t="s">
        <v>346</v>
      </c>
      <c r="C105" s="30">
        <v>37.64</v>
      </c>
      <c r="D105" s="27">
        <v>40.159999999999997</v>
      </c>
      <c r="E105">
        <f t="shared" si="1"/>
        <v>6.6950053134962699</v>
      </c>
    </row>
    <row r="106" spans="1:5">
      <c r="A106" t="s">
        <v>339</v>
      </c>
      <c r="B106" s="10" t="s">
        <v>347</v>
      </c>
      <c r="C106" s="30">
        <v>21.33</v>
      </c>
      <c r="D106" s="27">
        <v>22.76</v>
      </c>
      <c r="E106">
        <f t="shared" si="1"/>
        <v>6.7041725269573522</v>
      </c>
    </row>
    <row r="107" spans="1:5">
      <c r="A107" t="s">
        <v>339</v>
      </c>
      <c r="B107" s="10" t="s">
        <v>348</v>
      </c>
      <c r="C107" s="30">
        <v>24.49</v>
      </c>
      <c r="D107" s="27">
        <v>26.13</v>
      </c>
      <c r="E107">
        <f t="shared" si="1"/>
        <v>6.6966108615761559</v>
      </c>
    </row>
    <row r="108" spans="1:5">
      <c r="A108" t="s">
        <v>339</v>
      </c>
      <c r="B108" s="10" t="s">
        <v>349</v>
      </c>
      <c r="C108" s="30">
        <v>14.46</v>
      </c>
      <c r="D108" s="27">
        <v>15.43</v>
      </c>
      <c r="E108">
        <f t="shared" si="1"/>
        <v>6.7081604426002679</v>
      </c>
    </row>
    <row r="109" spans="1:5">
      <c r="A109" t="s">
        <v>339</v>
      </c>
      <c r="B109" s="10" t="s">
        <v>350</v>
      </c>
      <c r="C109" s="30">
        <v>17.41</v>
      </c>
      <c r="D109" s="27">
        <v>18.579999999999998</v>
      </c>
      <c r="E109">
        <f t="shared" si="1"/>
        <v>6.7202757036185989</v>
      </c>
    </row>
    <row r="110" spans="1:5">
      <c r="A110" t="s">
        <v>339</v>
      </c>
      <c r="B110" s="10" t="s">
        <v>351</v>
      </c>
      <c r="C110" s="30">
        <v>28.02</v>
      </c>
      <c r="D110" s="27">
        <v>29.9</v>
      </c>
      <c r="E110">
        <f t="shared" si="1"/>
        <v>6.7094932191291896</v>
      </c>
    </row>
    <row r="111" spans="1:5">
      <c r="A111" t="s">
        <v>339</v>
      </c>
      <c r="B111" s="10" t="s">
        <v>352</v>
      </c>
      <c r="C111" s="30">
        <v>36.270000000000003</v>
      </c>
      <c r="D111" s="27">
        <v>38.700000000000003</v>
      </c>
      <c r="E111">
        <f t="shared" si="1"/>
        <v>6.6997518610421816</v>
      </c>
    </row>
    <row r="112" spans="1:5">
      <c r="A112" t="s">
        <v>339</v>
      </c>
      <c r="B112" s="10" t="s">
        <v>353</v>
      </c>
      <c r="C112" s="30">
        <v>34.299999999999997</v>
      </c>
      <c r="D112" s="27">
        <v>36.6</v>
      </c>
      <c r="E112">
        <f t="shared" si="1"/>
        <v>6.7055393586005954</v>
      </c>
    </row>
    <row r="113" spans="1:5">
      <c r="A113" t="s">
        <v>339</v>
      </c>
      <c r="B113" s="10" t="s">
        <v>354</v>
      </c>
      <c r="C113" s="30">
        <v>23.3</v>
      </c>
      <c r="D113" s="27">
        <v>24.86</v>
      </c>
      <c r="E113">
        <f t="shared" si="1"/>
        <v>6.6952789699570765</v>
      </c>
    </row>
    <row r="114" spans="1:5">
      <c r="A114" t="s">
        <v>339</v>
      </c>
      <c r="B114" s="10" t="s">
        <v>355</v>
      </c>
      <c r="C114" s="30">
        <v>29.42</v>
      </c>
      <c r="D114" s="27">
        <v>31.39</v>
      </c>
      <c r="E114">
        <f t="shared" si="1"/>
        <v>6.6961250849762024</v>
      </c>
    </row>
    <row r="115" spans="1:5">
      <c r="A115" t="s">
        <v>339</v>
      </c>
      <c r="B115" s="12" t="s">
        <v>356</v>
      </c>
      <c r="C115" s="30">
        <v>20.14</v>
      </c>
      <c r="D115" s="27">
        <v>21.49</v>
      </c>
      <c r="E115">
        <f t="shared" si="1"/>
        <v>6.7030784508440799</v>
      </c>
    </row>
    <row r="116" spans="1:5">
      <c r="A116" t="s">
        <v>339</v>
      </c>
      <c r="B116" s="12" t="s">
        <v>357</v>
      </c>
      <c r="C116" s="30">
        <v>20.94</v>
      </c>
      <c r="D116" s="27">
        <v>22.34</v>
      </c>
      <c r="E116">
        <f t="shared" si="1"/>
        <v>6.6857688634192867</v>
      </c>
    </row>
    <row r="117" spans="1:5">
      <c r="A117" t="s">
        <v>339</v>
      </c>
      <c r="B117" s="6" t="s">
        <v>358</v>
      </c>
      <c r="C117" s="31">
        <v>25.49</v>
      </c>
      <c r="D117" s="27">
        <v>27.2</v>
      </c>
      <c r="E117">
        <f t="shared" si="1"/>
        <v>6.7085131424087914</v>
      </c>
    </row>
    <row r="118" spans="1:5">
      <c r="A118" t="s">
        <v>339</v>
      </c>
      <c r="B118" s="10" t="s">
        <v>359</v>
      </c>
      <c r="C118" s="31">
        <v>28.22</v>
      </c>
      <c r="D118" s="27">
        <v>30.11</v>
      </c>
      <c r="E118">
        <f t="shared" si="1"/>
        <v>6.697377746279237</v>
      </c>
    </row>
    <row r="119" spans="1:5">
      <c r="A119" t="s">
        <v>339</v>
      </c>
      <c r="B119" s="12" t="s">
        <v>360</v>
      </c>
      <c r="C119" s="31">
        <v>35.450000000000003</v>
      </c>
      <c r="D119" s="27">
        <v>37.83</v>
      </c>
      <c r="E119">
        <f t="shared" si="1"/>
        <v>6.7136812411847533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Svetlana S</cp:lastModifiedBy>
  <cp:revision/>
  <dcterms:created xsi:type="dcterms:W3CDTF">2026-01-12T08:57:30Z</dcterms:created>
  <dcterms:modified xsi:type="dcterms:W3CDTF">2026-01-23T14:19:10Z</dcterms:modified>
  <cp:category/>
  <cp:contentStatus/>
</cp:coreProperties>
</file>